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272307\Desktop\Projects_BAP\BQ79631\EVM\"/>
    </mc:Choice>
  </mc:AlternateContent>
  <xr:revisionPtr revIDLastSave="0" documentId="13_ncr:1_{307D3F80-D496-4511-ADE3-75C699DC1DF1}" xr6:coauthVersionLast="36" xr6:coauthVersionMax="36" xr10:uidLastSave="{00000000-0000-0000-0000-000000000000}"/>
  <bookViews>
    <workbookView xWindow="315" yWindow="45" windowWidth="18660" windowHeight="7365" xr2:uid="{00000000-000D-0000-FFFF-FFFF00000000}"/>
  </bookViews>
  <sheets>
    <sheet name="Calculator" sheetId="7" r:id="rId1"/>
    <sheet name="Revision_History" sheetId="6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E7" i="7" l="1"/>
  <c r="C7" i="7"/>
  <c r="D7" i="7" l="1"/>
  <c r="D13" i="7" l="1"/>
  <c r="C13" i="7"/>
</calcChain>
</file>

<file path=xl/sharedStrings.xml><?xml version="1.0" encoding="utf-8"?>
<sst xmlns="http://schemas.openxmlformats.org/spreadsheetml/2006/main" count="21" uniqueCount="21">
  <si>
    <t>SW3 Closed</t>
  </si>
  <si>
    <t>SW3 Open</t>
  </si>
  <si>
    <t>VHV V</t>
  </si>
  <si>
    <t>Sysetm isolation res (Ω)</t>
  </si>
  <si>
    <t>V_GPIO (nom) V</t>
  </si>
  <si>
    <t>R_1 (Ω)</t>
  </si>
  <si>
    <t>R_2 (Ω)</t>
  </si>
  <si>
    <t>R_3 (Ω)</t>
  </si>
  <si>
    <t>RISO_P</t>
  </si>
  <si>
    <t>RISO_N</t>
  </si>
  <si>
    <t>Estimate for modelling</t>
  </si>
  <si>
    <t>Output values</t>
  </si>
  <si>
    <t>Input  values</t>
  </si>
  <si>
    <t>User enters this</t>
  </si>
  <si>
    <t>Calculator output (V_GPIO)</t>
  </si>
  <si>
    <t>Rev</t>
  </si>
  <si>
    <t>Date</t>
  </si>
  <si>
    <t>Change by</t>
  </si>
  <si>
    <t>Reason</t>
  </si>
  <si>
    <t>Sudhir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</si>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</sst>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2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2" applyFont="1" applyBorder="1" applyAlignment="1">
      <alignment horizontal="center" vertical="center"/>
    </xf>
    <xf numFmtId="0" fontId="5" fillId="0" borderId="3" xfId="2" applyFont="1" applyBorder="1" applyAlignment="1"/>
    <xf numFmtId="0" fontId="5" fillId="0" borderId="13" xfId="2" applyFont="1" applyBorder="1" applyAlignment="1"/>
    <xf numFmtId="0" fontId="1" fillId="0" borderId="6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/>
    </xf>
    <xf numFmtId="0" fontId="0" fillId="0" borderId="0" xfId="0" applyBorder="1"/>
    <xf numFmtId="0" fontId="1" fillId="2" borderId="16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5" fillId="2" borderId="10" xfId="2" applyNumberFormat="1" applyFont="1" applyFill="1" applyBorder="1" applyAlignment="1">
      <alignment horizontal="center"/>
    </xf>
    <xf numFmtId="1" fontId="5" fillId="2" borderId="9" xfId="2" applyNumberFormat="1" applyFont="1" applyFill="1" applyBorder="1" applyAlignment="1">
      <alignment horizontal="center"/>
    </xf>
    <xf numFmtId="1" fontId="5" fillId="2" borderId="14" xfId="2" applyNumberFormat="1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20" xfId="0" applyFont="1" applyBorder="1" applyAlignment="1">
      <alignment horizontal="center" wrapText="1"/>
    </xf>
    <xf numFmtId="0" fontId="1" fillId="4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4">
    <cellStyle name="Normal" xfId="0" builtinId="0"/>
    <cellStyle name="Normal 2" xfId="3" xr:uid="{514790FA-8F9C-45D7-8267-0033804BC79E}"/>
    <cellStyle name="Normal 2 3" xfId="2" xr:uid="{55AF8EAB-C6B6-4289-94E2-86CECE41E3B6}"/>
    <cellStyle name="Normal 4" xfId="1" xr:uid="{A6CCAAC2-3F03-413D-B0CC-D95027F585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269631</xdr:colOff>
      <xdr:row>14</xdr:row>
      <xdr:rowOff>152400</xdr:rowOff>
    </xdr:from>
    <xdr:to>
      <xdr:col>9</xdr:col>
      <xdr:colOff>155331</xdr:colOff>
      <xdr:row>38</xdr:row>
      <xdr:rowOff>27038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871BAE-ACAF-446B-B850-4FF6C89E1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631" y="2731477"/>
          <a:ext cx="5417527" cy="4446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Q79631_Insulation_Res_EVM_ev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it"/>
      <sheetName val="Calculation"/>
      <sheetName val="J23-23"/>
      <sheetName val="J23-12"/>
      <sheetName val="J12-calc"/>
      <sheetName val="J23-calc"/>
      <sheetName val="PLOTS"/>
    </sheetNames>
    <sheetDataSet>
      <sheetData sheetId="0"/>
      <sheetData sheetId="1">
        <row r="35">
          <cell r="AA35">
            <v>50000</v>
          </cell>
          <cell r="AB35">
            <v>100000</v>
          </cell>
          <cell r="AC35">
            <v>200000</v>
          </cell>
          <cell r="AD35">
            <v>500000</v>
          </cell>
          <cell r="AE35">
            <v>1000000</v>
          </cell>
          <cell r="AF35">
            <v>2000000</v>
          </cell>
          <cell r="AG35">
            <v>5000000</v>
          </cell>
        </row>
        <row r="36">
          <cell r="Z36">
            <v>50000</v>
          </cell>
          <cell r="AA36">
            <v>0.77989893689979162</v>
          </cell>
          <cell r="AB36">
            <v>3.8278451127921</v>
          </cell>
          <cell r="AC36">
            <v>3.0223244033975498</v>
          </cell>
          <cell r="AD36">
            <v>2.5435588599217738</v>
          </cell>
          <cell r="AE36">
            <v>2.3847209469536468</v>
          </cell>
          <cell r="AF36">
            <v>2.3054420585536866</v>
          </cell>
          <cell r="AG36">
            <v>2.2579194619912015</v>
          </cell>
        </row>
        <row r="37">
          <cell r="Z37">
            <v>100000</v>
          </cell>
          <cell r="AA37">
            <v>0.71211495502896882</v>
          </cell>
          <cell r="AB37">
            <v>5.6175537207226149</v>
          </cell>
          <cell r="AC37">
            <v>3.9727108342553255</v>
          </cell>
          <cell r="AD37">
            <v>3.0046194293997832</v>
          </cell>
          <cell r="AE37">
            <v>2.6849969458061529</v>
          </cell>
          <cell r="AF37">
            <v>2.5257565883797071</v>
          </cell>
          <cell r="AG37">
            <v>2.4303943456227861</v>
          </cell>
        </row>
        <row r="38">
          <cell r="Z38">
            <v>200000</v>
          </cell>
          <cell r="AA38">
            <v>0.60210184371948183</v>
          </cell>
          <cell r="AB38">
            <v>2.4933285332178636</v>
          </cell>
          <cell r="AC38">
            <v>5.9182293751775141</v>
          </cell>
          <cell r="AD38">
            <v>3.9376590397970137</v>
          </cell>
          <cell r="AE38">
            <v>3.2903500313309486</v>
          </cell>
          <cell r="AF38">
            <v>2.9690618120456058</v>
          </cell>
          <cell r="AG38">
            <v>2.7770399605822313</v>
          </cell>
        </row>
        <row r="39">
          <cell r="Z39">
            <v>500000</v>
          </cell>
          <cell r="AA39">
            <v>2.5717150435447613</v>
          </cell>
          <cell r="AB39">
            <v>6.112599800863725</v>
          </cell>
          <cell r="AC39">
            <v>2.8729242222437459</v>
          </cell>
          <cell r="AD39">
            <v>6.8306265978126559</v>
          </cell>
          <cell r="AE39">
            <v>0.70119522360452691</v>
          </cell>
          <cell r="AF39">
            <v>2.4786604343037006</v>
          </cell>
          <cell r="AG39">
            <v>7.4495732434160455</v>
          </cell>
        </row>
        <row r="40">
          <cell r="Z40">
            <v>1000000</v>
          </cell>
          <cell r="AA40">
            <v>4.5313766173092347</v>
          </cell>
          <cell r="AB40">
            <v>10.237952847798953</v>
          </cell>
          <cell r="AC40">
            <v>4.9943010885333203</v>
          </cell>
          <cell r="AD40">
            <v>1.8536242922171369</v>
          </cell>
          <cell r="AE40">
            <v>8.386749992427184</v>
          </cell>
          <cell r="AF40">
            <v>0.98778659573635097</v>
          </cell>
          <cell r="AG40">
            <v>4.1788779995040599</v>
          </cell>
        </row>
        <row r="41">
          <cell r="Z41">
            <v>2000000</v>
          </cell>
          <cell r="AA41">
            <v>6.6976893327570783</v>
          </cell>
          <cell r="AB41">
            <v>15.12399404323766</v>
          </cell>
          <cell r="AC41">
            <v>7.3599554827223468</v>
          </cell>
          <cell r="AD41">
            <v>3.019165704454144</v>
          </cell>
          <cell r="AE41">
            <v>1.3818159745286103</v>
          </cell>
          <cell r="AF41">
            <v>11.639118020908185</v>
          </cell>
          <cell r="AG41">
            <v>2.4295812389818581</v>
          </cell>
        </row>
        <row r="42">
          <cell r="Z42">
            <v>5000000</v>
          </cell>
          <cell r="AA42">
            <v>9.16573712610092</v>
          </cell>
          <cell r="AB42">
            <v>21.038633470654776</v>
          </cell>
          <cell r="AC42">
            <v>10.071399511702664</v>
          </cell>
          <cell r="AD42">
            <v>4.2674945551430694</v>
          </cell>
          <cell r="AE42">
            <v>2.260586855242972</v>
          </cell>
          <cell r="AF42">
            <v>0.90918883260432626</v>
          </cell>
          <cell r="AG42">
            <v>22.683314509321843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61B0-6E6F-4D6F-AB4E-F055B0F05D1D}">
  <dimension ref="A1:H13"/>
  <sheetViews>
    <sheetView tabSelected="1" zoomScale="130" zoomScaleNormal="130" workbookViewId="0">
      <selection activeCell="R21" sqref="R21"/>
    </sheetView>
  </sheetViews>
  <sheetFormatPr defaultRowHeight="15" x14ac:dyDescent="0.25"/>
  <cols>
    <col min="1" max="1" width="9.140625" style="2"/>
    <col min="2" max="2" width="3.5703125" customWidth="1"/>
    <col min="3" max="3" width="9.5703125" bestFit="1" customWidth="1"/>
    <col min="7" max="7" width="11.28515625" customWidth="1"/>
    <col min="8" max="8" width="12.85546875" customWidth="1"/>
  </cols>
  <sheetData>
    <row r="1" spans="1:8" ht="15.75" thickBot="1" x14ac:dyDescent="0.3">
      <c r="C1" s="29" t="s">
        <v>12</v>
      </c>
      <c r="D1" s="30"/>
      <c r="G1" s="27" t="s">
        <v>11</v>
      </c>
      <c r="H1" s="28"/>
    </row>
    <row r="2" spans="1:8" ht="15.75" thickBot="1" x14ac:dyDescent="0.3">
      <c r="C2" s="29" t="s">
        <v>13</v>
      </c>
      <c r="D2" s="30"/>
      <c r="G2" s="27" t="s">
        <v>14</v>
      </c>
      <c r="H2" s="28"/>
    </row>
    <row r="4" spans="1:8" ht="15.75" thickBot="1" x14ac:dyDescent="0.3">
      <c r="G4" s="26" t="s">
        <v>10</v>
      </c>
      <c r="H4" s="26"/>
    </row>
    <row r="5" spans="1:8" x14ac:dyDescent="0.25">
      <c r="A5" s="4" t="s">
        <v>2</v>
      </c>
      <c r="C5" s="7" t="s">
        <v>5</v>
      </c>
      <c r="D5" s="7" t="s">
        <v>6</v>
      </c>
      <c r="E5" s="8" t="s">
        <v>7</v>
      </c>
      <c r="G5" s="22" t="s">
        <v>3</v>
      </c>
      <c r="H5" s="23"/>
    </row>
    <row r="6" spans="1:8" x14ac:dyDescent="0.25">
      <c r="A6" s="5"/>
      <c r="C6" s="9"/>
      <c r="D6" s="6"/>
      <c r="E6" s="10"/>
      <c r="G6" s="24" t="s">
        <v>8</v>
      </c>
      <c r="H6" s="25" t="s">
        <v>9</v>
      </c>
    </row>
    <row r="7" spans="1:8" ht="15.75" thickBot="1" x14ac:dyDescent="0.3">
      <c r="A7" s="14">
        <v>400</v>
      </c>
      <c r="C7" s="15">
        <f>2640000/2</f>
        <v>1320000</v>
      </c>
      <c r="D7" s="16">
        <f>C7</f>
        <v>1320000</v>
      </c>
      <c r="E7" s="17">
        <f>12450</f>
        <v>12450</v>
      </c>
      <c r="G7" s="12">
        <v>220000</v>
      </c>
      <c r="H7" s="13">
        <v>100000</v>
      </c>
    </row>
    <row r="9" spans="1:8" x14ac:dyDescent="0.25">
      <c r="A9" s="3"/>
      <c r="B9" s="11"/>
    </row>
    <row r="10" spans="1:8" ht="15.75" thickBot="1" x14ac:dyDescent="0.3"/>
    <row r="11" spans="1:8" ht="15.75" thickBot="1" x14ac:dyDescent="0.3">
      <c r="C11" s="31" t="s">
        <v>4</v>
      </c>
      <c r="D11" s="32"/>
    </row>
    <row r="12" spans="1:8" ht="35.25" customHeight="1" thickBot="1" x14ac:dyDescent="0.3">
      <c r="C12" s="21" t="s">
        <v>0</v>
      </c>
      <c r="D12" s="19" t="s">
        <v>1</v>
      </c>
    </row>
    <row r="13" spans="1:8" ht="15.75" thickBot="1" x14ac:dyDescent="0.3">
      <c r="C13" s="18">
        <f>$A$7/((G7*$C$7/($C$7+G7)+($D$7+$E$7)*H7/($D$7+$E$7+H7)))*H7/($D$7+$E$7+H7)*$E$7</f>
        <v>1.2346164348484832</v>
      </c>
      <c r="D13" s="20">
        <f>$A$7/((G7+($D$7+$E$7)*H7/($D$7+$E$7+H7)))*H7/($D$7+$E$7+H7)*$E$7</f>
        <v>1.1106551527262345</v>
      </c>
    </row>
  </sheetData>
  <mergeCells count="8">
    <mergeCell ref="G4:H4"/>
    <mergeCell ref="C1:D1"/>
    <mergeCell ref="G1:H1"/>
    <mergeCell ref="C2:D2"/>
    <mergeCell ref="G2:H2"/>
    <mergeCell ref="G5:H5"/>
    <mergeCell ref="C11:D11"/>
    <mergeCell ref="A5:A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7BF4-451A-4A49-8E02-1AADBB55C72F}">
  <dimension ref="A1:E14"/>
  <sheetViews>
    <sheetView workbookViewId="0">
      <selection activeCell="L16" sqref="L16"/>
    </sheetView>
  </sheetViews>
  <sheetFormatPr defaultRowHeight="15" x14ac:dyDescent="0.25"/>
  <cols>
    <col min="1" max="2" width="9.140625" style="2"/>
    <col min="3" max="3" width="10.140625" style="2" bestFit="1" customWidth="1"/>
    <col min="4" max="5" width="9.140625" style="2"/>
  </cols>
  <sheetData>
    <row r="1" spans="1:4" x14ac:dyDescent="0.25">
      <c r="A1" s="1" t="s">
        <v>15</v>
      </c>
      <c r="B1" s="1" t="s">
        <v>16</v>
      </c>
      <c r="C1" s="1" t="s">
        <v>17</v>
      </c>
      <c r="D1" s="33" t="s">
        <v>18</v>
      </c>
    </row>
    <row r="2" spans="1:4" x14ac:dyDescent="0.25">
      <c r="A2" s="1">
        <v>1</v>
      </c>
      <c r="B2" s="34">
        <v>44810</v>
      </c>
      <c r="C2" s="1" t="s">
        <v>19</v>
      </c>
      <c r="D2" s="1" t="s">
        <v>20</v>
      </c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Revision_History</vt:lpstr>
    </vt:vector>
  </TitlesOfParts>
  <Company>Texas Instruments,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a0272307</dc:creator>
  <cp:lastModifiedBy>a0272307</cp:lastModifiedBy>
  <dcterms:created xsi:type="dcterms:W3CDTF">2020-07-23T00:19:21Z</dcterms:created>
  <dcterms:modified xsi:type="dcterms:W3CDTF">2022-09-06T15:12:10Z</dcterms:modified>
</cp:coreProperties>
</file>