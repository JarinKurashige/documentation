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yingtsao/Documents/AUTORQ/System/Development/Controllers/INNKR/Protocol/INK12100_ 拓氪电助力系统通讯规范_V2502/"/>
    </mc:Choice>
  </mc:AlternateContent>
  <xr:revisionPtr revIDLastSave="0" documentId="13_ncr:1_{C4030790-1A0B-564D-9AF0-81DA75F3929E}" xr6:coauthVersionLast="47" xr6:coauthVersionMax="47" xr10:uidLastSave="{00000000-0000-0000-0000-000000000000}"/>
  <bookViews>
    <workbookView xWindow="0" yWindow="620" windowWidth="40000" windowHeight="24900" activeTab="7" xr2:uid="{00000000-000D-0000-FFFF-FFFF00000000}"/>
  </bookViews>
  <sheets>
    <sheet name="8.1_OverView" sheetId="2" r:id="rId1"/>
    <sheet name="8.2_NamingRule" sheetId="3" r:id="rId2"/>
    <sheet name="8.3_GEN" sheetId="4" r:id="rId3"/>
    <sheet name="8.4_MC" sheetId="5" r:id="rId4"/>
    <sheet name="8.5_HMI" sheetId="6" r:id="rId5"/>
    <sheet name="8.6_BMS" sheetId="7" r:id="rId6"/>
    <sheet name="8.7_IOT" sheetId="14" state="hidden" r:id="rId7"/>
    <sheet name="8.7_DBX" sheetId="9" r:id="rId8"/>
    <sheet name="8.8_EngineerTest" sheetId="16" r:id="rId9"/>
    <sheet name="History" sheetId="10" r:id="rId10"/>
  </sheets>
  <definedNames>
    <definedName name="_xlnm._FilterDatabase" localSheetId="2" hidden="1">'8.3_GEN'!$A$2:$U$36</definedName>
    <definedName name="_xlnm._FilterDatabase" localSheetId="3" hidden="1">'8.4_MC'!$A$2:$U$228</definedName>
    <definedName name="_xlnm._FilterDatabase" localSheetId="4" hidden="1">'8.5_HMI'!$A$2:$U$19</definedName>
    <definedName name="_xlnm._FilterDatabase" localSheetId="5" hidden="1">'8.6_BMS'!$A$2:$U$43</definedName>
    <definedName name="_xlnm._FilterDatabase" localSheetId="7" hidden="1">'8.7_DBX'!$A$2:$U$7</definedName>
    <definedName name="_xlnm._FilterDatabase" localSheetId="8" hidden="1">'8.8_EngineerTest'!$A$2:$U$43</definedName>
    <definedName name="_xlnm.Print_Titles" localSheetId="2">'8.3_GEN'!$2:$2</definedName>
    <definedName name="_xlnm.Print_Titles" localSheetId="8">'8.8_EngineerTest'!$2:$2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 i="16" l="1"/>
  <c r="A42" i="16"/>
  <c r="A41" i="16"/>
  <c r="A40" i="16"/>
  <c r="A39"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1" i="16"/>
  <c r="A10" i="16"/>
  <c r="A9" i="16"/>
  <c r="A8" i="16"/>
  <c r="A7" i="16"/>
  <c r="A6" i="16"/>
  <c r="A5" i="16"/>
  <c r="A4" i="16"/>
  <c r="A10" i="14"/>
  <c r="A9" i="14"/>
  <c r="A8" i="14"/>
  <c r="A7" i="14"/>
  <c r="A6" i="14"/>
  <c r="A5" i="14"/>
  <c r="A4" i="14"/>
  <c r="A3" i="14"/>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19" i="6"/>
  <c r="A18" i="6"/>
  <c r="A17" i="6"/>
  <c r="A16" i="6"/>
  <c r="A15" i="6"/>
  <c r="A14" i="6"/>
  <c r="A13" i="6"/>
  <c r="A12" i="6"/>
  <c r="A11" i="6"/>
  <c r="A10" i="6"/>
  <c r="A9" i="6"/>
  <c r="A8" i="6"/>
  <c r="A7" i="6"/>
  <c r="A6" i="6"/>
  <c r="A5" i="6"/>
  <c r="A4" i="6"/>
  <c r="A3" i="6"/>
  <c r="A228" i="5"/>
  <c r="A227" i="5"/>
  <c r="A226" i="5"/>
  <c r="A225" i="5"/>
  <c r="A224" i="5"/>
  <c r="A223" i="5"/>
  <c r="A222" i="5"/>
  <c r="A221" i="5"/>
  <c r="A220" i="5"/>
  <c r="A219" i="5"/>
  <c r="A218" i="5"/>
  <c r="A217" i="5"/>
  <c r="A216" i="5"/>
  <c r="A215" i="5"/>
  <c r="A214" i="5"/>
  <c r="A213" i="5"/>
  <c r="A212" i="5"/>
  <c r="A211" i="5"/>
  <c r="A210" i="5"/>
  <c r="A209" i="5"/>
  <c r="A207" i="5"/>
  <c r="A206" i="5"/>
  <c r="A205" i="5"/>
  <c r="A204" i="5"/>
  <c r="A202" i="5"/>
  <c r="A201" i="5"/>
  <c r="A200" i="5"/>
  <c r="A198" i="5"/>
  <c r="A197" i="5"/>
  <c r="A196" i="5"/>
  <c r="A195" i="5"/>
  <c r="A194" i="5"/>
  <c r="A193" i="5"/>
  <c r="A192" i="5"/>
  <c r="A191" i="5"/>
  <c r="A190" i="5"/>
  <c r="A189" i="5"/>
  <c r="A188" i="5"/>
  <c r="A187" i="5"/>
  <c r="A186" i="5"/>
  <c r="A185" i="5"/>
  <c r="A184" i="5"/>
  <c r="A183" i="5"/>
  <c r="A182" i="5"/>
  <c r="A181" i="5"/>
  <c r="A180" i="5"/>
  <c r="A179" i="5"/>
  <c r="A178" i="5"/>
  <c r="A177" i="5"/>
  <c r="A176"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1" i="5"/>
  <c r="A110" i="5"/>
  <c r="A109" i="5"/>
  <c r="A108" i="5"/>
  <c r="A107" i="5"/>
  <c r="A106" i="5"/>
  <c r="A105" i="5"/>
  <c r="A104" i="5"/>
  <c r="A103" i="5"/>
  <c r="A102" i="5"/>
  <c r="A101" i="5"/>
  <c r="A100"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3" i="5"/>
  <c r="A62" i="5"/>
  <c r="A61" i="5"/>
  <c r="A60" i="5"/>
  <c r="A59" i="5"/>
  <c r="A58" i="5"/>
  <c r="A57" i="5"/>
  <c r="A56" i="5"/>
  <c r="A55" i="5"/>
  <c r="A54" i="5"/>
  <c r="A53" i="5"/>
  <c r="A52" i="5"/>
  <c r="A50" i="5"/>
  <c r="A49" i="5"/>
  <c r="A48" i="5"/>
  <c r="A47" i="5"/>
  <c r="A46" i="5"/>
  <c r="A45" i="5"/>
  <c r="A44" i="5"/>
  <c r="A43" i="5"/>
  <c r="A42" i="5"/>
  <c r="A41" i="5"/>
  <c r="A40" i="5"/>
  <c r="A38" i="5"/>
  <c r="A37" i="5"/>
  <c r="A36" i="5"/>
  <c r="A35"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36" i="4"/>
  <c r="A35" i="4"/>
  <c r="A34" i="4"/>
  <c r="A33" i="4"/>
  <c r="A32" i="4"/>
  <c r="A31" i="4"/>
  <c r="A30" i="4"/>
  <c r="A29" i="4"/>
  <c r="A28" i="4"/>
  <c r="A27" i="4"/>
  <c r="A26" i="4"/>
  <c r="A25" i="4"/>
  <c r="A24" i="4"/>
  <c r="A23" i="4"/>
  <c r="A22" i="4"/>
  <c r="A21" i="4"/>
  <c r="A20" i="4"/>
  <c r="A19" i="4"/>
  <c r="A18" i="4"/>
  <c r="A17" i="4"/>
  <c r="A16" i="4"/>
  <c r="A15" i="4"/>
  <c r="A13" i="4"/>
  <c r="A12" i="4"/>
  <c r="A11" i="4"/>
  <c r="A10" i="4"/>
  <c r="A8" i="4"/>
  <c r="A7" i="4"/>
  <c r="A6" i="4"/>
  <c r="A5" i="4"/>
  <c r="A4" i="4"/>
</calcChain>
</file>

<file path=xl/sharedStrings.xml><?xml version="1.0" encoding="utf-8"?>
<sst xmlns="http://schemas.openxmlformats.org/spreadsheetml/2006/main" count="4231" uniqueCount="1069">
  <si>
    <t>INNKR EPAC System Communication Standard</t>
  </si>
  <si>
    <t>- Part 8: Diagnostiac Messages V0.2</t>
  </si>
  <si>
    <t>8.1 Overview</t>
  </si>
  <si>
    <t>Sheet</t>
  </si>
  <si>
    <t>Description</t>
  </si>
  <si>
    <t>10_GEN</t>
  </si>
  <si>
    <t>General diagnostic mesages, every ECU shall support these messages.</t>
  </si>
  <si>
    <t>11_MC</t>
  </si>
  <si>
    <t>Diagnostic messages for motor controller.</t>
  </si>
  <si>
    <t>12_HMI</t>
  </si>
  <si>
    <t>Diagnostic messages for HMI, include display, extend scream, extend key board and so on.</t>
  </si>
  <si>
    <t>13_BMS</t>
  </si>
  <si>
    <t>Diagnostic messages for BMS.</t>
  </si>
  <si>
    <t>14_IOT</t>
  </si>
  <si>
    <t>Diagnostic messages for IOT device</t>
  </si>
  <si>
    <t>15_OBC</t>
  </si>
  <si>
    <t>Diagnostic messages for charger / OBC.</t>
  </si>
  <si>
    <t>16_DBX</t>
  </si>
  <si>
    <t>Diagnostic messages for DiagBox</t>
  </si>
  <si>
    <t>8.2 Diagnostic Message Naming Rule</t>
  </si>
  <si>
    <t>Message Name Composition</t>
  </si>
  <si>
    <t>Message Type + Sender Node + Message Function type + Message Function + Unit</t>
  </si>
  <si>
    <t>Message Type</t>
  </si>
  <si>
    <t>DM_</t>
  </si>
  <si>
    <t>Diagnostic Message (Optional)</t>
  </si>
  <si>
    <t>Node Abbreviation</t>
  </si>
  <si>
    <t>GEN_</t>
  </si>
  <si>
    <t>Gerneral</t>
  </si>
  <si>
    <t>MC_</t>
  </si>
  <si>
    <t>Motor Controller</t>
  </si>
  <si>
    <t>HMI_</t>
  </si>
  <si>
    <t>Display</t>
  </si>
  <si>
    <t>BMS_</t>
  </si>
  <si>
    <t>Battery Management System</t>
  </si>
  <si>
    <t>IOT_</t>
  </si>
  <si>
    <t>Internet of Things</t>
  </si>
  <si>
    <t>OBC_</t>
  </si>
  <si>
    <t>On-board Charger / Charger</t>
  </si>
  <si>
    <t>DBX_</t>
  </si>
  <si>
    <t>Diagnostic Box</t>
  </si>
  <si>
    <t>APP_</t>
  </si>
  <si>
    <t>APP</t>
  </si>
  <si>
    <t>Message Type Abbreviation</t>
  </si>
  <si>
    <t>INF_</t>
  </si>
  <si>
    <t>Information
Information which not allowed to be changed,.
eg: Serial number, Software version.</t>
  </si>
  <si>
    <t>CFG_</t>
  </si>
  <si>
    <t>Configuration
Configurable parameter.
eg: Wheel size, speed limitation.</t>
  </si>
  <si>
    <t>MNT_</t>
  </si>
  <si>
    <t>Monitor
Parameter for monitor only, can not be changed.
eg: Real time torque, cadence, bike speed.</t>
  </si>
  <si>
    <t>CTL_</t>
  </si>
  <si>
    <t>Control
Control parameter, for functional control.
eg: Assistance level control, light control.</t>
  </si>
  <si>
    <t>8.3 General Diagnostic Messages (0x100~0x13F)</t>
  </si>
  <si>
    <t>NO.</t>
  </si>
  <si>
    <t>Message ID</t>
  </si>
  <si>
    <t>Message Name</t>
  </si>
  <si>
    <t>Send Type</t>
  </si>
  <si>
    <t>Periodic (ms)</t>
  </si>
  <si>
    <t>Sender/
Request</t>
  </si>
  <si>
    <t>Receiver/
Response</t>
  </si>
  <si>
    <t>Data Type</t>
  </si>
  <si>
    <t>Byte Len</t>
  </si>
  <si>
    <t>Offset</t>
  </si>
  <si>
    <t>Factor</t>
  </si>
  <si>
    <t>Min</t>
  </si>
  <si>
    <t>Max</t>
  </si>
  <si>
    <t>Default</t>
  </si>
  <si>
    <t>Unit</t>
  </si>
  <si>
    <t>Access Type</t>
  </si>
  <si>
    <t>Security Level
(Read)</t>
  </si>
  <si>
    <t>Security Level
(Write)</t>
  </si>
  <si>
    <t>Memorize</t>
  </si>
  <si>
    <t>Memorize Partition</t>
  </si>
  <si>
    <t>Comment</t>
  </si>
  <si>
    <t>Diagnostic Control Message</t>
  </si>
  <si>
    <t>0x100</t>
  </si>
  <si>
    <t>GEN_CTL_DiagSessionControl</t>
  </si>
  <si>
    <t>EVENT</t>
  </si>
  <si>
    <t>APP/Cloud
Diag Portal
Diag Box</t>
  </si>
  <si>
    <t>ALL</t>
  </si>
  <si>
    <t>uint8</t>
  </si>
  <si>
    <t>-</t>
  </si>
  <si>
    <t>RW</t>
  </si>
  <si>
    <t>L0</t>
  </si>
  <si>
    <t>RAM</t>
  </si>
  <si>
    <t>NA</t>
  </si>
  <si>
    <t>Switch diagnostic session
0: default session (Normal communication)
1: Diagnostic session
2: Programming Bootload session
7E: Invalid command (for response)
7F: Condition not satisfied (for response)
3~255: Invalid value</t>
  </si>
  <si>
    <t>0x101</t>
  </si>
  <si>
    <t>GEN_CTL_CommunicationControl</t>
  </si>
  <si>
    <t>Enable/Disable ECU communication
0: Disable ECU communication
1: Enable ECU communication
2~255: Invalid value</t>
  </si>
  <si>
    <t>0x102</t>
  </si>
  <si>
    <t>GEN_CTL_TesterPresent</t>
  </si>
  <si>
    <t>APP
Diag Portal</t>
  </si>
  <si>
    <t xml:space="preserve">Tester present message, send with periodic 1S during diagnostic senssion. </t>
  </si>
  <si>
    <t>0x103</t>
  </si>
  <si>
    <t>GEN_CTL_ECUReset</t>
  </si>
  <si>
    <t>L1</t>
  </si>
  <si>
    <t>Reset MCU
1: Reset MCU
0, 2~255: Invalid value</t>
  </si>
  <si>
    <t>0x104</t>
  </si>
  <si>
    <t>GEN_CTL_SecurityAccess</t>
  </si>
  <si>
    <t>hex</t>
  </si>
  <si>
    <t>Security access
Byte 0: Security access level
Byte 1: Commond
Byte 2~5: Seed, Key
Byte 6~7: reserved</t>
  </si>
  <si>
    <t>Bootloader Control Message</t>
  </si>
  <si>
    <t>0x110</t>
  </si>
  <si>
    <t>GEN_CTL_DownloadCmd</t>
  </si>
  <si>
    <t>L4</t>
  </si>
  <si>
    <t>Bootload command message
Byte 0: Command
Byte 1~7: Command parameter</t>
  </si>
  <si>
    <t>0x111</t>
  </si>
  <si>
    <t>GEN_CTL_UploadCmd</t>
  </si>
  <si>
    <t>Command of upload data from ECU</t>
  </si>
  <si>
    <t>0x112</t>
  </si>
  <si>
    <t>GEN_CTL_FirmwareTransmission</t>
  </si>
  <si>
    <t>64~1785</t>
  </si>
  <si>
    <t>Firmware file transmission</t>
  </si>
  <si>
    <t>0x113</t>
  </si>
  <si>
    <t>GEN_CTL_SecuredDataTransmission</t>
  </si>
  <si>
    <t>Secured firmware data transmission</t>
  </si>
  <si>
    <t>Normal Command Message</t>
  </si>
  <si>
    <t>0x120</t>
  </si>
  <si>
    <t>GEN_MNT_EcuState</t>
  </si>
  <si>
    <t>RO</t>
  </si>
  <si>
    <t>ECU state
0: Normal
1: Warning
2: Error
3~255: Invalid</t>
  </si>
  <si>
    <t>0x121</t>
  </si>
  <si>
    <t>GEN_INF_SoftwareVersion</t>
  </si>
  <si>
    <t>uint32</t>
  </si>
  <si>
    <t>0xFFFFFFFF</t>
  </si>
  <si>
    <t>ROM</t>
  </si>
  <si>
    <t>ECU software version
eg: 06 02 03 04, means S04030206</t>
  </si>
  <si>
    <t>0x122</t>
  </si>
  <si>
    <t>GEN_INF_BootloaderVersion</t>
  </si>
  <si>
    <t>ECU Bootloader version
eg: 08 00 03 04, means S04030008</t>
  </si>
  <si>
    <t>0x123</t>
  </si>
  <si>
    <t>GEN_INF_ProtocolVersion</t>
  </si>
  <si>
    <t>ECU protocol version
eg: 00 02 03 04, means V04030200</t>
  </si>
  <si>
    <t>0x124</t>
  </si>
  <si>
    <t>GEN_CFG_HardwareVersion</t>
  </si>
  <si>
    <t>FLASH</t>
  </si>
  <si>
    <t>FixedInfo</t>
  </si>
  <si>
    <t>ECU hardware version
eg: 01 00 05 03, means A03050001
It only can be modified during PCBA FCT test,</t>
  </si>
  <si>
    <t>0x125</t>
  </si>
  <si>
    <t>GEN_CFG_PcbaSerialNumber</t>
  </si>
  <si>
    <t>string</t>
  </si>
  <si>
    <t xml:space="preserve">PCBA serial number
eg: </t>
  </si>
  <si>
    <t>0x126</t>
  </si>
  <si>
    <t>GEN_CFG_ProcuctSerialNumber</t>
  </si>
  <si>
    <t>Product serial number
eg: PandaX-C1-2312240001</t>
  </si>
  <si>
    <t>0x127</t>
  </si>
  <si>
    <t>GEN_CFG_OrderNumber</t>
  </si>
  <si>
    <t>0x128</t>
  </si>
  <si>
    <t>GEN_CFG_Customer</t>
  </si>
  <si>
    <t>Customer name</t>
  </si>
  <si>
    <t>0x129</t>
  </si>
  <si>
    <t>GEN_CFG_Manufacturer</t>
  </si>
  <si>
    <t>Manufacturer name</t>
  </si>
  <si>
    <t>0x12A</t>
  </si>
  <si>
    <t>GEN_CFG_ManufactureDate</t>
  </si>
  <si>
    <t>Manufacture data of the ECU
eg: YY:MM:DD HH:MM</t>
  </si>
  <si>
    <t>0x12B</t>
  </si>
  <si>
    <t>GEN_CFG_ProductModel</t>
  </si>
  <si>
    <t>Product model
eg: PandaX</t>
  </si>
  <si>
    <t>0x12C</t>
  </si>
  <si>
    <t>GEN_MNT_ReadDTCNum</t>
  </si>
  <si>
    <t>Read the number of present DTCs (Diagnostic Trouble Code). means how many present DTC exist currentlly.</t>
  </si>
  <si>
    <t>0x12D</t>
  </si>
  <si>
    <t>GEN_MNT_ReadPresentDTCList</t>
  </si>
  <si>
    <t>Read present DTC code list</t>
  </si>
  <si>
    <t>0x12E</t>
  </si>
  <si>
    <t>GEN_MNT_ReadHistoryDTCList</t>
  </si>
  <si>
    <t>Read history DTC code list</t>
  </si>
  <si>
    <t>0x12F</t>
  </si>
  <si>
    <t>GEN_MNT_ReadDTCSnapShoot</t>
  </si>
  <si>
    <t>Read DTC snap shoot</t>
  </si>
  <si>
    <t>0x130</t>
  </si>
  <si>
    <t>GEN_MNT_ClearDiagInformation</t>
  </si>
  <si>
    <t>Clear Diagnostic information
1: Clear information
0, 2~255: Invalid value</t>
  </si>
  <si>
    <t>0x131</t>
  </si>
  <si>
    <t>GEN_INF_ProtocolVersionMemo</t>
  </si>
  <si>
    <t>Memorized ECU protocol version
eg: 00 02 03 04, means V04030200</t>
  </si>
  <si>
    <t>0x13A</t>
  </si>
  <si>
    <t>GEN_MNT_NvmStatus</t>
  </si>
  <si>
    <t>Read ECU NVM operate status
0: Free
1: Busy</t>
  </si>
  <si>
    <t>0x13B</t>
  </si>
  <si>
    <t>GEN_Cfg_SetNvmLogicFormat</t>
  </si>
  <si>
    <t>Set Nvm logic page formating
1. Keep the nvm physical parameter
2. Reset the nvm logic parameter
3. Set payload data to default value</t>
  </si>
  <si>
    <t>0x13C</t>
  </si>
  <si>
    <t>GEN_CTL_SetNvmPhysicalFormat</t>
  </si>
  <si>
    <t>Set Nvm physical page formating
1. Reset the nvm physical parameter
2. Reset the nvm logic parameter
3. Set payload data to default value</t>
  </si>
  <si>
    <t>0x13D</t>
  </si>
  <si>
    <t>GEN_Cfg_SetNvmDefault</t>
  </si>
  <si>
    <t>L2</t>
  </si>
  <si>
    <t>增加读取分区的报文</t>
  </si>
  <si>
    <t>8.4 MC Diagnostic Messages (0x140 ~ 0x2BF)</t>
  </si>
  <si>
    <t xml:space="preserve"> eBike Messages</t>
  </si>
  <si>
    <t>0x140</t>
  </si>
  <si>
    <t>MC_INF_BikeNumber</t>
  </si>
  <si>
    <t>APP/Cloud
Diag Portal</t>
  </si>
  <si>
    <t>MC</t>
  </si>
  <si>
    <t>ProductCfg</t>
  </si>
  <si>
    <t>0x141</t>
  </si>
  <si>
    <t>MC_INF_FrameNumber</t>
  </si>
  <si>
    <t xml:space="preserve">APP/Cloud
Diag Portal
</t>
  </si>
  <si>
    <t>0x150</t>
  </si>
  <si>
    <t>MC_CFG_RegistedNodes</t>
  </si>
  <si>
    <t>CustomerCfg</t>
  </si>
  <si>
    <t>0x151</t>
  </si>
  <si>
    <t>MC_CFG_MotorType</t>
  </si>
  <si>
    <t>0x152</t>
  </si>
  <si>
    <t>MC_CFG_PedalSensorType</t>
  </si>
  <si>
    <t>0：Cadence Sensor
1：Torque Sensor</t>
  </si>
  <si>
    <t>0x153</t>
  </si>
  <si>
    <t>MC_CFG_WheelPerimeterReal_MM</t>
  </si>
  <si>
    <t>uint16</t>
  </si>
  <si>
    <t>mm</t>
  </si>
  <si>
    <t>车轮周长，实际用于计算车速，里程的值</t>
  </si>
  <si>
    <t>0x154</t>
  </si>
  <si>
    <t>MC_CFG_WheelPerimeterBase_MM</t>
  </si>
  <si>
    <t>配置基准值</t>
  </si>
  <si>
    <t>0x155</t>
  </si>
  <si>
    <t>MC_CFG_WheelPerimeterCfgMin_MM</t>
  </si>
  <si>
    <t>车轮周长允许的最小配置值</t>
  </si>
  <si>
    <t>0x156</t>
  </si>
  <si>
    <t>MC_CFG_WheelPerimeterCfgMax_MM</t>
  </si>
  <si>
    <t>车轮周长允许的最大配置值</t>
  </si>
  <si>
    <t>0x158</t>
  </si>
  <si>
    <t>MC_CFG_SetBikeODO_KM</t>
  </si>
  <si>
    <t>KM</t>
  </si>
  <si>
    <t>车辆骑行里程</t>
  </si>
  <si>
    <t>0x159</t>
  </si>
  <si>
    <t>MC_CFG_SetBikeHideODO_KM</t>
  </si>
  <si>
    <t>车辆骑行里程（不可清除的值）</t>
  </si>
  <si>
    <t>0x15A</t>
  </si>
  <si>
    <t>MC_CFG_TripReset</t>
  </si>
  <si>
    <t>请求：
0 - 不重置， 1 - 重置
回复：
0 - 空闲/允许重置
1 - 正在重置
2 - 重置完成
3 - 拒绝操作</t>
  </si>
  <si>
    <t>0x15B</t>
  </si>
  <si>
    <t>MC_CFG_TripWorkMode</t>
  </si>
  <si>
    <t>Trip work mode
0 - Trip reset to 0 during each power on
1 - Trip memorized in flash, reset to 0 untill user operate trip reset</t>
  </si>
  <si>
    <t>0x15C</t>
  </si>
  <si>
    <t>MC_CFG_RangeBaseData_WHpKM</t>
  </si>
  <si>
    <t>WH/KM</t>
  </si>
  <si>
    <t>EEPROM</t>
  </si>
  <si>
    <t>RideData</t>
  </si>
  <si>
    <t>How much Power(WH) is consumed each KM.</t>
  </si>
  <si>
    <t>0x15D</t>
  </si>
  <si>
    <t>MC_CFG_MaxHumanPower_W</t>
  </si>
  <si>
    <t>W</t>
  </si>
  <si>
    <t>0x15E</t>
  </si>
  <si>
    <t>MC_CFG_NextServiceODO_KM</t>
  </si>
  <si>
    <t>0x15F</t>
  </si>
  <si>
    <t>MC_CFG_NextServiceDate</t>
  </si>
  <si>
    <t>S</t>
  </si>
  <si>
    <t>Real time clock, the time frame - YY MM DD HH MM SS 
Byte 0: YY, year
Byte 1: MM, month
Byte 2: DD, day
Byte 3: HH, hour
Byte 4: MM, mintus
Byte 5: SS, second
Byte 6~7: reserved</t>
  </si>
  <si>
    <t>0x160</t>
  </si>
  <si>
    <t>MC_CFG_BikeLockedFlag</t>
  </si>
  <si>
    <t>OperateData</t>
  </si>
  <si>
    <t>0x161</t>
  </si>
  <si>
    <t>MC_MNT_BikeODO_KM</t>
  </si>
  <si>
    <t>0x162</t>
  </si>
  <si>
    <t>MC_MNT_BikeHideODO_KM</t>
  </si>
  <si>
    <t>0x163</t>
  </si>
  <si>
    <t>MC_MNT_Trip_KM</t>
  </si>
  <si>
    <t>0x164</t>
  </si>
  <si>
    <t>MC_MNT_ODOTime_S</t>
  </si>
  <si>
    <t>车辆骑行的总时间</t>
  </si>
  <si>
    <t>0x165</t>
  </si>
  <si>
    <t>MC_MNT_TripTime_S</t>
  </si>
  <si>
    <t>车辆小计里程的骑行时间</t>
  </si>
  <si>
    <t>0x166</t>
  </si>
  <si>
    <t>MC_MNT_TripAverageSpeed_KMH</t>
  </si>
  <si>
    <t>KM/H</t>
  </si>
  <si>
    <t>0x167</t>
  </si>
  <si>
    <t>MC_MNT_TripMaxSpeed_KMH</t>
  </si>
  <si>
    <t>0x168</t>
  </si>
  <si>
    <t>MC_MNT_BikeRange_KM</t>
  </si>
  <si>
    <t>0xFFFF</t>
  </si>
  <si>
    <t>0x169</t>
  </si>
  <si>
    <t>MC_MNT_HumanPowerRt_W</t>
  </si>
  <si>
    <t>0x16A</t>
  </si>
  <si>
    <t>MC_MNT_MotorPowerRt_W</t>
  </si>
  <si>
    <t>0x16B</t>
  </si>
  <si>
    <t>MC_MNT_BikeServiceRequired</t>
  </si>
  <si>
    <t>0x16C</t>
  </si>
  <si>
    <t>MC_MNT_EnergyConspt_kcal</t>
  </si>
  <si>
    <t xml:space="preserve"> Display Messages</t>
  </si>
  <si>
    <t>0x170</t>
  </si>
  <si>
    <t>MC_CFG_WheelSizeConfigable</t>
  </si>
  <si>
    <t>Whether wheel size of eBike can be modified by user
0: wheel size can not be modified by display / APP
1: wheel size can be modified by display / APP
2: Reserved value
3: Invalid value</t>
  </si>
  <si>
    <t>0x171</t>
  </si>
  <si>
    <t>MC_CFG_SpeedLimitConfigable</t>
  </si>
  <si>
    <t>Whether speed limit value of eBike can be modified by user
0: speed limit value can not be modified by display / APP
1: speed limit value can be modified by display / APP
2: Reserved value
3: Invalid value</t>
  </si>
  <si>
    <t>0x172</t>
  </si>
  <si>
    <t>MC_CFG_HmiUnitType</t>
  </si>
  <si>
    <t>仪表显示的单位类型
0: KM/H
1: MPH</t>
  </si>
  <si>
    <t>0x173</t>
  </si>
  <si>
    <t>MC_CFG_HmiLanguage</t>
  </si>
  <si>
    <t>仪表显示的语言类型
0：英语
1：法语
2：德语</t>
  </si>
  <si>
    <t xml:space="preserve"> Battery / Power Messages</t>
  </si>
  <si>
    <t>0x17A</t>
  </si>
  <si>
    <t>MC_CFG_BatteryVoltageType</t>
  </si>
  <si>
    <t>Battery nominal voltage type
0: 36V system
1: 48V system
2: Reserved
3: Invalid value</t>
  </si>
  <si>
    <t>0x17B</t>
  </si>
  <si>
    <t>MC_CFG_SetBatteryCapacity_MAH</t>
  </si>
  <si>
    <t>mAH</t>
  </si>
  <si>
    <t>0x17C</t>
  </si>
  <si>
    <t>MC_CFG_DcCurrentLimit_A</t>
  </si>
  <si>
    <t>A</t>
  </si>
  <si>
    <t>0x17D</t>
  </si>
  <si>
    <t>MC_CFG_DcCurrentKp</t>
  </si>
  <si>
    <t>float32</t>
  </si>
  <si>
    <t>0x17E</t>
  </si>
  <si>
    <t>MC_CFG_DcCurrentKi</t>
  </si>
  <si>
    <t>0x180</t>
  </si>
  <si>
    <t>MC_MNT_BatteryVoltage_V</t>
  </si>
  <si>
    <t>V</t>
  </si>
  <si>
    <t>0x181</t>
  </si>
  <si>
    <t>MC_MNT_BatteryCurrent_A</t>
  </si>
  <si>
    <t>0x182</t>
  </si>
  <si>
    <t>MC_MNT_BatterySoc_PCT</t>
  </si>
  <si>
    <t>%</t>
  </si>
  <si>
    <t>0x183</t>
  </si>
  <si>
    <t>MC_MNT_BatteryLow</t>
  </si>
  <si>
    <t>0x184</t>
  </si>
  <si>
    <t>MC_MNT_PCB5VPower_mV</t>
  </si>
  <si>
    <t>mV</t>
  </si>
  <si>
    <t>0x185</t>
  </si>
  <si>
    <t>MC_MNT_PCB6VPower_mV</t>
  </si>
  <si>
    <t xml:space="preserve"> Throttle Messages</t>
  </si>
  <si>
    <t>0x188</t>
  </si>
  <si>
    <t>MC_CFG_ThrottleAvriable</t>
  </si>
  <si>
    <t>Throttle device enabled / disabled
0-Disable
1-Enable</t>
  </si>
  <si>
    <t>0x189</t>
  </si>
  <si>
    <t>MC_CFG_ThrottleDeviceType</t>
  </si>
  <si>
    <t>Throttle device type
0-Standard Throttle
1-Button Throttle</t>
  </si>
  <si>
    <t>0x18A</t>
  </si>
  <si>
    <t>MC_CFG_ThrottleAssistSpeedLimit_KMH</t>
  </si>
  <si>
    <t>Throttle algorithm speed limit value, only avriable when
(0x28A) MC_CFG_ThrottleAlgorithmType = 4</t>
  </si>
  <si>
    <t>0x18B</t>
  </si>
  <si>
    <t>MC_CFG_ThrottleVoltageMin_MV</t>
  </si>
  <si>
    <t>0x18C</t>
  </si>
  <si>
    <t>MC_CFG_ThrottleVoltageMax_MV</t>
  </si>
  <si>
    <t>0x18D</t>
  </si>
  <si>
    <t>MC_CFG_ThrottleVoltageActived_MV</t>
  </si>
  <si>
    <t>0x18E</t>
  </si>
  <si>
    <t>MC_CFG_ThrottleVoltageInactived_MV</t>
  </si>
  <si>
    <t>0x18F</t>
  </si>
  <si>
    <t>MC_CFG_ThrottleActiveTime_S</t>
  </si>
  <si>
    <t>Throttle active time limit</t>
  </si>
  <si>
    <t>0x190</t>
  </si>
  <si>
    <t>MC_MNT_ThrottleState</t>
  </si>
  <si>
    <t>0x191</t>
  </si>
  <si>
    <t>MC_MNT_ThrottleVoltage_MV</t>
  </si>
  <si>
    <t>throttle voltage</t>
  </si>
  <si>
    <t>0x192</t>
  </si>
  <si>
    <t>MC_MNT_ThrottleOut_PCT</t>
  </si>
  <si>
    <t>0x193</t>
  </si>
  <si>
    <t>MC_MNT_ThrottleError</t>
  </si>
  <si>
    <t xml:space="preserve"> Sensor Messages: Torque, Cadence, Speed, Brake, Gear Sensor</t>
  </si>
  <si>
    <t>0x198</t>
  </si>
  <si>
    <t>MC_CFG_TorqSensVoltMin_MV</t>
  </si>
  <si>
    <t>0x199</t>
  </si>
  <si>
    <t>MC_CFG_TorqSensVoltMax_MV</t>
  </si>
  <si>
    <t>0x19A</t>
  </si>
  <si>
    <t>MC_CFG_TorqSensSensitivity_MVpNM</t>
  </si>
  <si>
    <t>mV/NM</t>
  </si>
  <si>
    <t>扭矩传感器灵敏度</t>
  </si>
  <si>
    <t>0x19B</t>
  </si>
  <si>
    <t>MC_MNT_TorqSensState</t>
  </si>
  <si>
    <t>0xFF</t>
  </si>
  <si>
    <t>0x19C</t>
  </si>
  <si>
    <t>MC_MNT_TorqSensVoltage_MV</t>
  </si>
  <si>
    <t>0x19D</t>
  </si>
  <si>
    <t>MC_MNT_TorqSensVoltageZero_MV</t>
  </si>
  <si>
    <t>0x19E</t>
  </si>
  <si>
    <t>MC_MNT_TorqueValue_NM</t>
  </si>
  <si>
    <t>NM</t>
  </si>
  <si>
    <t>0x19F</t>
  </si>
  <si>
    <t>MC_CFG_CadSensPulseInCycle</t>
  </si>
  <si>
    <t>0x200</t>
  </si>
  <si>
    <t>MC_CFG_CadSensDuty_PCT</t>
  </si>
  <si>
    <t>0x202</t>
  </si>
  <si>
    <t>MC_MNT_CadSensDirInput</t>
  </si>
  <si>
    <t>Direction pin signal from hardware</t>
  </si>
  <si>
    <t>0x203</t>
  </si>
  <si>
    <t>MC_MNT_CadSensInput</t>
  </si>
  <si>
    <t>Cadence pin signal from hardware</t>
  </si>
  <si>
    <t>0x204</t>
  </si>
  <si>
    <t>MC_MNT_CadSensPulseCount</t>
  </si>
  <si>
    <t>0x205</t>
  </si>
  <si>
    <t>MC_MNT_CadSensValue_RPM</t>
  </si>
  <si>
    <t>RPM</t>
  </si>
  <si>
    <t>Cadence value RPM</t>
  </si>
  <si>
    <t>0x206</t>
  </si>
  <si>
    <t>MC_MNT_CadSensDirection</t>
  </si>
  <si>
    <t>Cadence direction</t>
  </si>
  <si>
    <t>0x207</t>
  </si>
  <si>
    <t>MC_MNT_CadSensError</t>
  </si>
  <si>
    <t>0x210</t>
  </si>
  <si>
    <t>MC_CFG_SpdSensPulseInCycle</t>
  </si>
  <si>
    <t>车速传感器一圈的脉冲数</t>
  </si>
  <si>
    <t>0x211</t>
  </si>
  <si>
    <t>MC_CFG_SpeedAdjustFactor</t>
  </si>
  <si>
    <t>车速值浮动比例</t>
  </si>
  <si>
    <t>0x212</t>
  </si>
  <si>
    <t>MC_MNT_SpdSensInput</t>
  </si>
  <si>
    <t>Speed pin signal from hardware</t>
  </si>
  <si>
    <t>0x213</t>
  </si>
  <si>
    <t>MC_MNT_SpdSensPulseCount</t>
  </si>
  <si>
    <t>0x214</t>
  </si>
  <si>
    <t>MC_MNT_WheelSpeed_RPM</t>
  </si>
  <si>
    <t>0x215</t>
  </si>
  <si>
    <t>MC_MNT_BikeSpeed_KMH</t>
  </si>
  <si>
    <t>0x216</t>
  </si>
  <si>
    <t>MC_MNT_SpdSensError</t>
  </si>
  <si>
    <t>0x217</t>
  </si>
  <si>
    <t>MC_MNT_BrakeSensorInput</t>
  </si>
  <si>
    <t>Brake pin signal from hardware</t>
  </si>
  <si>
    <t>0x218</t>
  </si>
  <si>
    <t>MC_MNT_BrakeSensorStatus</t>
  </si>
  <si>
    <t>0: Brake inactive
1: Brake active</t>
  </si>
  <si>
    <t>0x219</t>
  </si>
  <si>
    <t>MC_MNT_BrakeSensorError</t>
  </si>
  <si>
    <t>0x21C</t>
  </si>
  <si>
    <t>MC_CFG_GearSensorAvriable</t>
  </si>
  <si>
    <t>变速传感器是否可用</t>
  </si>
  <si>
    <t>0x21D</t>
  </si>
  <si>
    <t>MC_CFG_GearSensorActiveTime_MS</t>
  </si>
  <si>
    <t>ms</t>
  </si>
  <si>
    <t>变速传感器触发后的维持激活状态的时间</t>
  </si>
  <si>
    <t>0x21E</t>
  </si>
  <si>
    <t>MC_CFG_GearSensorDrive_PCT</t>
  </si>
  <si>
    <t>变速传感器激活后，电机降助力的百分比</t>
  </si>
  <si>
    <t>0x21F</t>
  </si>
  <si>
    <t>MC_MNT_GearSensorInput</t>
  </si>
  <si>
    <t>0x220</t>
  </si>
  <si>
    <t>MC_MNT_GearSensorStatus</t>
  </si>
  <si>
    <t>0x221</t>
  </si>
  <si>
    <t>MC_MNT_GearSensorError</t>
  </si>
  <si>
    <t xml:space="preserve"> Light</t>
  </si>
  <si>
    <t>0x224</t>
  </si>
  <si>
    <t>MC_CFG_LightOperateAvriable</t>
  </si>
  <si>
    <t>Weather light can be operated
0: Light can not be operated by display
1: Light can be operated by display</t>
  </si>
  <si>
    <t>0x225</t>
  </si>
  <si>
    <t>MC_CFG_LightWorkMode</t>
  </si>
  <si>
    <t>Light work mode
0: Light off when power on
1: Light on when power on
2: Auto light when power on
3: Load Memorized light state when power on</t>
  </si>
  <si>
    <t>0x226</t>
  </si>
  <si>
    <t>MC_CFG_SetFrontLightPwm_PCT</t>
  </si>
  <si>
    <t>0x227</t>
  </si>
  <si>
    <t>MC_CFG_BrakeLightAvriable</t>
  </si>
  <si>
    <t>刹车灯是否使能</t>
  </si>
  <si>
    <t>0x228</t>
  </si>
  <si>
    <t>MC_CFG_SetBrakeLowLightPwm_PCT</t>
  </si>
  <si>
    <t>0x229</t>
  </si>
  <si>
    <t>MC_CFG_SetBrakeHighLightPwm_PCT</t>
  </si>
  <si>
    <t>0x22A</t>
  </si>
  <si>
    <t>MC_CTL_FrontLightOn</t>
  </si>
  <si>
    <t>Light status
0: Light off
1: Light on
2, 3: Invalid value</t>
  </si>
  <si>
    <t>0x22B</t>
  </si>
  <si>
    <t>MC_CTL_RearLightOn</t>
  </si>
  <si>
    <t>0x22C</t>
  </si>
  <si>
    <t>MC_CTL_LightAuto</t>
  </si>
  <si>
    <t>Auto light status
0: Auto light off
1: Auto light on
2, 3: Invalid value</t>
  </si>
  <si>
    <t>0x22D</t>
  </si>
  <si>
    <t>MC_CTL_BrakeLightOn</t>
  </si>
  <si>
    <t>0x22E</t>
  </si>
  <si>
    <t>MC_MNT_FrontLightError</t>
  </si>
  <si>
    <t>0x22F</t>
  </si>
  <si>
    <t>MC_MNT_RearLightError</t>
  </si>
  <si>
    <t xml:space="preserve"> Motor</t>
  </si>
  <si>
    <t>0x230</t>
  </si>
  <si>
    <t>MC_CFG_MotorLd_H</t>
  </si>
  <si>
    <t>H</t>
  </si>
  <si>
    <t>0x231</t>
  </si>
  <si>
    <t>MC_CFG_MotorLq_H</t>
  </si>
  <si>
    <t>0x232</t>
  </si>
  <si>
    <t>MC_CFG_MotorRs_OHM</t>
  </si>
  <si>
    <t>Ohm</t>
  </si>
  <si>
    <t>0x233</t>
  </si>
  <si>
    <t>MC_CFG_MotorFlux_VpHZ</t>
  </si>
  <si>
    <t>V/Hz</t>
  </si>
  <si>
    <t>0x234</t>
  </si>
  <si>
    <t>MC_CFG_MotorPoles</t>
  </si>
  <si>
    <t>0x235</t>
  </si>
  <si>
    <t>MC_CFG_MotorIqKp</t>
  </si>
  <si>
    <t>0x236</t>
  </si>
  <si>
    <t>MC_CFG_MotorIqKi</t>
  </si>
  <si>
    <t>0x237</t>
  </si>
  <si>
    <t>MC_CFG_MotorIdKp</t>
  </si>
  <si>
    <t>0x238</t>
  </si>
  <si>
    <t>MC_CFG_MotorIdKi</t>
  </si>
  <si>
    <t>0x239</t>
  </si>
  <si>
    <t>MC_CFG_MotorSpeedKp</t>
  </si>
  <si>
    <t>0x23A</t>
  </si>
  <si>
    <t>MC_CFG_MotorSpeedKi</t>
  </si>
  <si>
    <t>0x23B</t>
  </si>
  <si>
    <t>MC_CFG_MotorOvmEnable</t>
  </si>
  <si>
    <t>0x23C</t>
  </si>
  <si>
    <t>MC_CFG_MotorFwcEnable</t>
  </si>
  <si>
    <t>0x23D</t>
  </si>
  <si>
    <t>MC_CFG_MotorMtpaEnable</t>
  </si>
  <si>
    <t>0x23E</t>
  </si>
  <si>
    <t>MC_CFG_RsOnlineEnable</t>
  </si>
  <si>
    <t>0x23F</t>
  </si>
  <si>
    <t>MC_CFG_MotorAngleSensorType</t>
  </si>
  <si>
    <t>0: FAST
1: HALL
2: ENCODER</t>
  </si>
  <si>
    <t>0x240</t>
  </si>
  <si>
    <t>MC_CFG_MotorHallAngleCW</t>
  </si>
  <si>
    <t>0x241</t>
  </si>
  <si>
    <t>MC_CFG_MotorHallAngleCCW</t>
  </si>
  <si>
    <t>0x242</t>
  </si>
  <si>
    <t>MC_CFG_MaxPhaseCurrent_A</t>
  </si>
  <si>
    <t>0x243</t>
  </si>
  <si>
    <t>MC_CFG_MotorMaxTorqueRiseRate_NMpS</t>
  </si>
  <si>
    <t>NM/S</t>
  </si>
  <si>
    <t>0x244</t>
  </si>
  <si>
    <t>MC_CFG_MotorSpinDirection</t>
  </si>
  <si>
    <t>/* 0 - normal, 1 - inverse */</t>
  </si>
  <si>
    <t>0x245</t>
  </si>
  <si>
    <t>MC_CFG_MotorRatedPower_W</t>
  </si>
  <si>
    <t>0x246</t>
  </si>
  <si>
    <t>MC_CFG_MotorGearRatio</t>
  </si>
  <si>
    <t>uint32_t</t>
  </si>
  <si>
    <t>0x247</t>
  </si>
  <si>
    <t>MC_CTL_MotorControlByDiag</t>
  </si>
  <si>
    <t>0: Controller by Assistance Algorithm
1: Control by Diagnostic</t>
  </si>
  <si>
    <t>0x248</t>
  </si>
  <si>
    <t>MC_CTL_MotorIdentyEnable</t>
  </si>
  <si>
    <t>0x249</t>
  </si>
  <si>
    <t>MC_CTL_MotorEnabled</t>
  </si>
  <si>
    <t>0x24A</t>
  </si>
  <si>
    <t>MC_CTL_MotorDriveMode</t>
  </si>
  <si>
    <t>Speed / Current</t>
  </si>
  <si>
    <t>0x24B</t>
  </si>
  <si>
    <t>MC_CTL_MotorPhaseCurrentRef_A</t>
  </si>
  <si>
    <t>int32</t>
  </si>
  <si>
    <t>0x24C</t>
  </si>
  <si>
    <t>MC_CTL_MotorSpeedRef_RPM</t>
  </si>
  <si>
    <t>int16</t>
  </si>
  <si>
    <t>0x24D</t>
  </si>
  <si>
    <t>MC_CTL_MotorSpeedRiseRateRef_RPMpS</t>
  </si>
  <si>
    <t>RPM/S</t>
  </si>
  <si>
    <t>0x24E</t>
  </si>
  <si>
    <t>MC_CTL_HallAngleCalibrationEnable</t>
  </si>
  <si>
    <t>启动HALL角度校准</t>
  </si>
  <si>
    <t>0x24F</t>
  </si>
  <si>
    <t>MC_MNT_HallAngleCalibratResult</t>
  </si>
  <si>
    <t>读取HALL角度校准结果</t>
  </si>
  <si>
    <t>0x250</t>
  </si>
  <si>
    <t>MC_MNT_MotorSpeed_RPM</t>
  </si>
  <si>
    <t>0x251</t>
  </si>
  <si>
    <t>MC_MNT_SingalMotorSpeed_RPM</t>
  </si>
  <si>
    <t>0x252</t>
  </si>
  <si>
    <t>MC_MNT_MotorPhaseCurrent_A</t>
  </si>
  <si>
    <t>0x253</t>
  </si>
  <si>
    <t>MC_MNT_MotorTorque_NM</t>
  </si>
  <si>
    <t>0x254</t>
  </si>
  <si>
    <t>MC_MNT_MotorState</t>
  </si>
  <si>
    <t>0x255</t>
  </si>
  <si>
    <t>MC_MNT_MotorEstState</t>
  </si>
  <si>
    <t>0x256</t>
  </si>
  <si>
    <t>MC_MNT_RsOnline_OHM</t>
  </si>
  <si>
    <t>Diag Portal</t>
  </si>
  <si>
    <t>0x257</t>
  </si>
  <si>
    <t>MC_MNT_MotorHallState</t>
  </si>
  <si>
    <t>电机三相霍尔状态，值为0~7之间。从高位到低位依次为：
HallC， HallB， HallA</t>
  </si>
  <si>
    <t>0x258</t>
  </si>
  <si>
    <t>MC_CTL_EncoderCalibrateEnable</t>
  </si>
  <si>
    <t>使能角度传感器校正</t>
  </si>
  <si>
    <t>0x259</t>
  </si>
  <si>
    <t>MC_CTL_EncoderSinCosUpdateEnable</t>
  </si>
  <si>
    <t>校准波形</t>
  </si>
  <si>
    <t>0x25A</t>
  </si>
  <si>
    <t>MC_CTL_EncoderAE_UpdateEnable</t>
  </si>
  <si>
    <t xml:space="preserve"> 和fast对比</t>
  </si>
  <si>
    <t>0x25B</t>
  </si>
  <si>
    <t>MC_MNT_EncoderCalibrateResult</t>
  </si>
  <si>
    <t>读取编码器校准结果</t>
  </si>
  <si>
    <t>0x25C</t>
  </si>
  <si>
    <t>MC_MNT_EncoderCalibratePhase</t>
  </si>
  <si>
    <t>Byte 0 - Calibrate Phase
0: Idel
1: Start Calibrate
2: Drive Motor
3: Read Parameter
4: Read Angle Offset
5: Momorize Parameter
Byte 1 - Operate result
0: Phase not execute
1: Phase on going
2: Phase success
3: Phase fail</t>
  </si>
  <si>
    <t>0x25D</t>
  </si>
  <si>
    <t>MC_MNT_EncoderAnglephaseAE</t>
  </si>
  <si>
    <t>0x25E</t>
  </si>
  <si>
    <t>MC_MNT_EncoderSinSourceMAX</t>
  </si>
  <si>
    <t>0x25F</t>
  </si>
  <si>
    <t>MC_MNT_EncoderSinSourceMIN</t>
  </si>
  <si>
    <t>0x260</t>
  </si>
  <si>
    <t>MC_MNT_EncoderSinSourceOffset</t>
  </si>
  <si>
    <t>0x261</t>
  </si>
  <si>
    <t>MC_MNT_EncoderSinSourceRange</t>
  </si>
  <si>
    <t>0x263</t>
  </si>
  <si>
    <t>MC_MNT_EncoderCosSourceMAX</t>
  </si>
  <si>
    <t>0x264</t>
  </si>
  <si>
    <t>MC_MNT_EncoderCosSourceMIN</t>
  </si>
  <si>
    <t>0x265</t>
  </si>
  <si>
    <t>MC_MNT_EncoderCosSourceOffset</t>
  </si>
  <si>
    <t>0x266</t>
  </si>
  <si>
    <t>MC_MNT_EncoderCosSourceRange</t>
  </si>
  <si>
    <t>0x268</t>
  </si>
  <si>
    <t>MC_MNT_EncoderCDS_MAX</t>
  </si>
  <si>
    <t>0x269</t>
  </si>
  <si>
    <t>MC_MNT_EncoderCDS_MIN</t>
  </si>
  <si>
    <t>0x26A</t>
  </si>
  <si>
    <t>MC_MNT_EncoderCDS_Offset</t>
  </si>
  <si>
    <t>0x26B</t>
  </si>
  <si>
    <t>MC_MNT_EncoderCDS_Range</t>
  </si>
  <si>
    <t>0x26C</t>
  </si>
  <si>
    <t>MC_MNT_EncoderCPS_MAX</t>
  </si>
  <si>
    <t>0x26D</t>
  </si>
  <si>
    <t>MC_MNT_EncoderCPS_MIN</t>
  </si>
  <si>
    <t>0x26E</t>
  </si>
  <si>
    <t>MC_MNT_EncoderCPS_Offset</t>
  </si>
  <si>
    <t>0x26F</t>
  </si>
  <si>
    <t>MC_MNT_EncoderCPS_Range</t>
  </si>
  <si>
    <t>Ride Assistance Algorithm</t>
  </si>
  <si>
    <t>0x270</t>
  </si>
  <si>
    <t>MC_CFG_AssistAlgorithmType</t>
  </si>
  <si>
    <t>Assist algorithm type
0: Torque assistance algorithm
1: Cadence assistance algorithm
2: Torque assistance algorithm for Japen ebike</t>
  </si>
  <si>
    <t>0x271</t>
  </si>
  <si>
    <t>MC_CFG_AstLvl_AssistRatio_PCT</t>
  </si>
  <si>
    <t>Assist ratio percentage of each assit level
Byte 0：Percentage of Level SMART
Byte 1：Percentage of Level 1
Byte 2：Percentage of Level 2
Byte 3：Percentage of Level 3
Byte 4：Percentage of Level 4
Byte 5：Percentage of Level 5
Assist Ratio of each level = Max assist ratio * percentage</t>
  </si>
  <si>
    <t>0x272</t>
  </si>
  <si>
    <t>MC_CFG_AstLvl_AssistTorque_PCT</t>
  </si>
  <si>
    <t>Max torque percentage of each assit level
Byte 0：Percentage of Level SMART
Byte 1：Percentage of Level 1
Byte 2：Percentage of Level 2
Byte 3：Percentage of Level 3
Byte 4：Percentage of Level 4
Byte 5：Percentage of Level 5
Max torque of each assist level = Max torque of the controller * percentage</t>
  </si>
  <si>
    <t>0x273</t>
  </si>
  <si>
    <t>MC_CFG_AstLvl_AssistDCCurrent_PCT</t>
  </si>
  <si>
    <t>Max motor DC current percentage of each assit level
Byte 0：Percentage of Level SMART
Byte 1：Percentage of Level 1
Byte 2：Percentage of Level 2
Byte 3：Percentage of Level 3
Byte 4：Percentage of Level 4
Byte 5：Percentage of Level 5
Max DC current of each level = Max DC current of the controller  * percentage</t>
  </si>
  <si>
    <t>0x274</t>
  </si>
  <si>
    <t>MC_CFG_AstLvl_AssistSpeed_PCT</t>
  </si>
  <si>
    <t>Bike speed limit percentage of each assit level
Byte 0：Percentage of Level SMART
Byte 1：Percentage of Level 1
Byte 2：Percentage of Level 2
Byte 3：Percentage of Level 3
Byte 4：Percentage of Level 4
Byte 5：Percentage of Level 5
Speed limit value of each level = Max speed limit value of the ebike * percentage</t>
  </si>
  <si>
    <t>0x275</t>
  </si>
  <si>
    <t>MC_CFG_AstLvl_AssistResponse_PCT</t>
  </si>
  <si>
    <t>Motor torque rise rate percentage of each assit level
Byte 0：Percentage of Level SMART
Byte 1：Percentage of Level 1
Byte 2：Percentage of Level 2
Byte 3：Percentage of Level 3
Byte 4：Percentage of Level 4
Byte 5：Percentage of Level 5
Motor Torque rise rate = Max motor torque rise rate * percentage</t>
  </si>
  <si>
    <t>0x276</t>
  </si>
  <si>
    <t>MC_CFG_Assist_StartupCadencePulse</t>
  </si>
  <si>
    <t>Cadence pulse of motor start assistance</t>
  </si>
  <si>
    <t>0x277</t>
  </si>
  <si>
    <t>MC_CFG_Assist_StartupCadence_RPM</t>
  </si>
  <si>
    <t>Cadence value of motor start assistance</t>
  </si>
  <si>
    <t>0x278</t>
  </si>
  <si>
    <t>MC_CFG_Assist_StartupTorque_NM</t>
  </si>
  <si>
    <t>Pedal torque of motor start assistance</t>
  </si>
  <si>
    <t>0x279</t>
  </si>
  <si>
    <t>MC_CFG_Smart_ComfortTorqueMin_NM</t>
  </si>
  <si>
    <t>Minmum value of rider comfort torque</t>
  </si>
  <si>
    <t>0x27A</t>
  </si>
  <si>
    <t>MC_CFG_Smart_ComfortTorqueMax_NM</t>
  </si>
  <si>
    <t>Maxmum value of rider comfort torque</t>
  </si>
  <si>
    <t>0x157</t>
  </si>
  <si>
    <t>MC_CFG_MaxAssistSpeedLimit_KMH</t>
  </si>
  <si>
    <t>eBike speed limit value</t>
  </si>
  <si>
    <t>0x27B</t>
  </si>
  <si>
    <t>MC_CFG_SpeedLimitOffsetDecrease_KMH</t>
  </si>
  <si>
    <t>0x27C</t>
  </si>
  <si>
    <t>MC_CFG_SpeedLimitOffsetStop_KMH</t>
  </si>
  <si>
    <t>0x27D</t>
  </si>
  <si>
    <t>MC_CFG_MaxAlgorithmTorque_NM</t>
  </si>
  <si>
    <t>0x27E</t>
  </si>
  <si>
    <t>MC_CFG_SoftStartEnable</t>
  </si>
  <si>
    <t>0x27F</t>
  </si>
  <si>
    <t>MC_CTL_AssistLevel</t>
  </si>
  <si>
    <t>0x280</t>
  </si>
  <si>
    <t>MC_CTL_SmartAssist</t>
  </si>
  <si>
    <t>0x281</t>
  </si>
  <si>
    <t>MC_MNT_AssistRatioRt</t>
  </si>
  <si>
    <t>0x282</t>
  </si>
  <si>
    <t>MC_MNT_SpeedLimitFactor_PCT</t>
  </si>
  <si>
    <t>0x283</t>
  </si>
  <si>
    <t>MC_CFG_SmartAvriable</t>
  </si>
  <si>
    <t>0x284</t>
  </si>
  <si>
    <t>MC_CTL_TurboAssist</t>
  </si>
  <si>
    <t>0x285</t>
  </si>
  <si>
    <t>MC_CFG_TurboAvriable</t>
  </si>
  <si>
    <t>Throttle Assistance Algorithm</t>
  </si>
  <si>
    <t>0x28A</t>
  </si>
  <si>
    <t>MC_CFG_ThrottleAlgorithmType</t>
  </si>
  <si>
    <t>Throttle Algorithm type
0：No Fucntion
1：Throttle Active Walk Mode
2：Throttle Active Boost Mode
3：Motor controlled by throttle independently
     The speed limit value is same with ride speed limit value.
4：Motor controlled by throttle independently
     Throttle speed limit is different from ride speed limit value.
      Throttle speed limit is follow ox18A</t>
  </si>
  <si>
    <t>0x28B</t>
  </si>
  <si>
    <t>MC_CFG_ThrottleInactiveSpeed_KMH</t>
  </si>
  <si>
    <t>Throttle is forbiden to be operate when bike speed lower then this value</t>
  </si>
  <si>
    <t>0x28C</t>
  </si>
  <si>
    <t>MC_CFG_ThrottleActiveSpeed_KMH</t>
  </si>
  <si>
    <t>Throttle is allowed to be operate when bike speed higher then this value</t>
  </si>
  <si>
    <t xml:space="preserve"> Walk Assistance Algorithm</t>
  </si>
  <si>
    <t>0x290</t>
  </si>
  <si>
    <t>MC_CFG_WalkAvriable</t>
  </si>
  <si>
    <t>0: Walk Disabled
1: Walk Avriable, Walk hold disabled
2: Walk avriable, and walk hold avriable</t>
  </si>
  <si>
    <t>0x291</t>
  </si>
  <si>
    <t>MC_CFG_WalkSpeed_KMH</t>
  </si>
  <si>
    <t>0x292</t>
  </si>
  <si>
    <t>MC_CFG_WalkPower_W</t>
  </si>
  <si>
    <t>0x293</t>
  </si>
  <si>
    <t>MC_CTL_WalkControl</t>
  </si>
  <si>
    <t xml:space="preserve"> Protection</t>
  </si>
  <si>
    <t>0x298</t>
  </si>
  <si>
    <t>MC_CFG_ControllerTempLimitEnable</t>
  </si>
  <si>
    <t>0x299</t>
  </si>
  <si>
    <t>MC_CFG_MCHighTempWarnValue_C</t>
  </si>
  <si>
    <t>℃</t>
  </si>
  <si>
    <t>0x29A</t>
  </si>
  <si>
    <t>MC_CFG_MCHighTempErrorValue_C</t>
  </si>
  <si>
    <t>0x29B</t>
  </si>
  <si>
    <t>MC_MNT_MCTempMaxMemorized_C</t>
  </si>
  <si>
    <t>0x29C</t>
  </si>
  <si>
    <t>MC_MNT_MCTempValue_C</t>
  </si>
  <si>
    <t>0x29D</t>
  </si>
  <si>
    <t>MC_MNT_ControllerTempLimitFactor_PCT</t>
  </si>
  <si>
    <t>0x29E</t>
  </si>
  <si>
    <t>MC_CFG_MotorTempLimitEnable</t>
  </si>
  <si>
    <t>0x29F</t>
  </si>
  <si>
    <t>MC_CFG_MotorHighTempWarnValue_C</t>
  </si>
  <si>
    <t>0x2A0</t>
  </si>
  <si>
    <t>MC_CFG_MotorHighTempErrorValue_C</t>
  </si>
  <si>
    <t>0x2A1</t>
  </si>
  <si>
    <t>MC_MNT_MotorTempMaxMemorized_C</t>
  </si>
  <si>
    <t>0x2A3</t>
  </si>
  <si>
    <t>MC_MNT_MotorTempValue_C</t>
  </si>
  <si>
    <t>0x2A2</t>
  </si>
  <si>
    <t>MC_MNT_MotorTempLimitFactor_PCT</t>
  </si>
  <si>
    <t>0x2A4</t>
  </si>
  <si>
    <t>MC_CFG_MotorStallProtectEnable</t>
  </si>
  <si>
    <t>0x2A5</t>
  </si>
  <si>
    <t>MC_MNT_MotorStallLimitFactor_PCT</t>
  </si>
  <si>
    <t>0x2A6</t>
  </si>
  <si>
    <t>MC_CFG_LowBatDecreaseAssist_mAH</t>
  </si>
  <si>
    <t>电池低电量降助力的阈值容量</t>
  </si>
  <si>
    <t>0x2A7</t>
  </si>
  <si>
    <t>MC_CFG_LowBatStopAssist_mAH</t>
  </si>
  <si>
    <t>电池低电量停止助力的阈值容量</t>
  </si>
  <si>
    <t>0x2A8</t>
  </si>
  <si>
    <t>MC_MNT_MotorLowBatLimitFactor_PCT</t>
  </si>
  <si>
    <t>0x2A9</t>
  </si>
  <si>
    <t>MC_CFG_PhaseUnbalanceProtectEnable</t>
  </si>
  <si>
    <t>0x2AA</t>
  </si>
  <si>
    <t>MC_CFG_LossPhaseProtectEnable</t>
  </si>
  <si>
    <t>0x2AB</t>
  </si>
  <si>
    <t>MC_MNT_MotorProtectionFactor_PCT</t>
  </si>
  <si>
    <t>8.5 HMI Diagnostic Messages (0x2C0~0x2FF)</t>
  </si>
  <si>
    <t>0x2C0</t>
  </si>
  <si>
    <t>HMI_MNT_ReadKeyStatus</t>
  </si>
  <si>
    <t>HMI</t>
  </si>
  <si>
    <t>Byte 0: Power
Byte 1: Plus
Byte 2: Minus
Byte 3: Mode
Byte 4: Light
Byte 5: Walk
Byte 6 ~8: Reserved
Button status:
0: Key Not Pressed Down
1: Key Pressed Down
2: Key Locked</t>
  </si>
  <si>
    <t>0x2C1</t>
  </si>
  <si>
    <t>HMI_CFG_BackLightLevel</t>
  </si>
  <si>
    <t>LCD back light level</t>
  </si>
  <si>
    <t>0x2C2</t>
  </si>
  <si>
    <t>HMI_CTL_SetLcdBackLight_PCT</t>
  </si>
  <si>
    <t>LCD back llight percentage
0 - LCD Back light off
100 - LCD Back light max</t>
  </si>
  <si>
    <t>0x2C3</t>
  </si>
  <si>
    <t>HMI_CTL_SetLcdTestMode</t>
  </si>
  <si>
    <t>Active LCD test mode.
0 - Normal Mode
1 - LCD Test Mode</t>
  </si>
  <si>
    <t>0x2C4</t>
  </si>
  <si>
    <t>HMI_CFG_LogoSelection</t>
  </si>
  <si>
    <t>Select display logo during power on, 
0 - no logo, 
1- INNKR logo
2 - Connected logo
3 - NEOMOUV logo
4 - URTOPIA logo
0xF0 - Customerlized logo</t>
  </si>
  <si>
    <t>0x2C5</t>
  </si>
  <si>
    <t>HMI_CFG_UIThemeID</t>
  </si>
  <si>
    <t>Select display UI theme,
0 - default theme
1- 1st user theme
2 - 2nd user theme
2 - 3rd user theme
2 - 4th user theme</t>
  </si>
  <si>
    <t>0x2C6</t>
  </si>
  <si>
    <t>HMI_CFG_SetTimeClock</t>
  </si>
  <si>
    <t>real time clock, time frame - YY MM DD HH MM SS 
Byte 0: YY, year
Byte 1: MM, month
Byte 2: DD, day
Byte 3: HH, hour
Byte 4: MM, mintus
Byte 5: SS, second
Byte 6~7: reserved</t>
  </si>
  <si>
    <t>0x2C7</t>
  </si>
  <si>
    <t>HMI_CFG_ReadRealTimeClock</t>
  </si>
  <si>
    <t>0x2C8</t>
  </si>
  <si>
    <t>HMI_CTL_SelectUpdateLogo</t>
  </si>
  <si>
    <t>Select which display logo to update 
0 - invalid value
1- 1st logo
2 - 2nd logo
3 - 3rd logo</t>
  </si>
  <si>
    <t>0x2C9</t>
  </si>
  <si>
    <t>HMI_CFG_ReadLcdResolution</t>
  </si>
  <si>
    <t>0x2CA</t>
  </si>
  <si>
    <t>HMI_CFG_UITheme</t>
  </si>
  <si>
    <t>Byte 0：Theme ID
Byte 1 ~ Byte 3: Color 1
Byte 4 ~ Byte 6: Color 2
Byte 7 ~ Byte 9: Color 3
Byte 10 ~ Byte 12: Color 4
Byte 13 ~ Byte 15: Color 5
Byte 16 ~ Byte 18: Color 6
Byte 19 ~ Byte 21: Color 7
Byte 22 ~ Byte 25: Color 8</t>
  </si>
  <si>
    <t>0x2D0</t>
  </si>
  <si>
    <t>HMI_CFG_LogoTransmission</t>
  </si>
  <si>
    <t>8~1024</t>
  </si>
  <si>
    <t>Transmit logo to display</t>
  </si>
  <si>
    <t>0x2D1</t>
  </si>
  <si>
    <t>HMI_CFG_KeyBoardType</t>
  </si>
  <si>
    <t>Key board type
0 - KEY4A (RM01)
1 - KEY2A (RM05)
2 - KEY5A (RM06)</t>
  </si>
  <si>
    <t>0x2D2</t>
  </si>
  <si>
    <t>HMI_CFG_TimeEnabled</t>
  </si>
  <si>
    <t>0x2D3</t>
  </si>
  <si>
    <t>EVL_CTL_EnvioloMode</t>
  </si>
  <si>
    <t>0x2D4</t>
  </si>
  <si>
    <t>EVL_CTL_EnvioloManualLevel</t>
  </si>
  <si>
    <t>0x2D5</t>
  </si>
  <si>
    <t>EVL_CTL_EnvioloAutoCadence</t>
  </si>
  <si>
    <t>8.6 BMS Diagnostic Messages (0x300~0x37F)</t>
  </si>
  <si>
    <t>0x300</t>
  </si>
  <si>
    <t>BMS_MNT_BatteryStatus</t>
  </si>
  <si>
    <t>APP/HMI
Diag Portal</t>
  </si>
  <si>
    <t>BMS</t>
  </si>
  <si>
    <t>Battery working state
0: Sleep
1: Discharging: 电池正在对外放电
2: Charging
3: Discharge protection
4: Charge protection
5: Hold: 电池挂起状态，电池不对外供电，且不允许充电
6~14: Reserved value
15: Invalid value</t>
  </si>
  <si>
    <t>0x301</t>
  </si>
  <si>
    <t>BMS_MNT_BatteryHealthDegree</t>
  </si>
  <si>
    <t>Battery health degree</t>
  </si>
  <si>
    <t>0x302</t>
  </si>
  <si>
    <t>BMS_MNT_BatteryVoltage_V</t>
  </si>
  <si>
    <t>Battery voltage calculated by BMS</t>
  </si>
  <si>
    <t>0x303</t>
  </si>
  <si>
    <t>BMS_CFG_NominalVoltage_V</t>
  </si>
  <si>
    <t>设计电压
Battery designed voltage</t>
  </si>
  <si>
    <t>0x304</t>
  </si>
  <si>
    <t>BMS_MNT_BatteryCurrent_A</t>
  </si>
  <si>
    <t>Battery voltage calculated by BMS.
1.Positive value means Charging
2.Negative value means Discharging</t>
  </si>
  <si>
    <t>0x305</t>
  </si>
  <si>
    <t>BMS_MNT_LeftCapacity_mAH</t>
  </si>
  <si>
    <t>mAh</t>
  </si>
  <si>
    <t>Battery left capacity</t>
  </si>
  <si>
    <t>0x306</t>
  </si>
  <si>
    <t>BMS_MNT_FullCapacity_mAH</t>
  </si>
  <si>
    <t>Battery full capacity</t>
  </si>
  <si>
    <t>0x307</t>
  </si>
  <si>
    <t>BMS_MNT_DesignCapacity_mAH</t>
  </si>
  <si>
    <t>设计容量
Battery design capacity</t>
  </si>
  <si>
    <t>0x308</t>
  </si>
  <si>
    <t>BMS_MNT_BatterySoc_Pct</t>
  </si>
  <si>
    <t>Percentage of battery left capacity</t>
  </si>
  <si>
    <t>0x309</t>
  </si>
  <si>
    <t>BMS_MNT_BatteryCycleCount</t>
  </si>
  <si>
    <t>Cycles</t>
  </si>
  <si>
    <t>Cycles of battery charge - discharge</t>
  </si>
  <si>
    <t>0x310</t>
  </si>
  <si>
    <t>BMS_MNT_LastChargeTimeInterv_H</t>
  </si>
  <si>
    <t>Hours</t>
  </si>
  <si>
    <t>Time interval from last charge</t>
  </si>
  <si>
    <t>0x311</t>
  </si>
  <si>
    <t>BMS_MNT_MaxContinusDischargeCurrent_A</t>
  </si>
  <si>
    <t>Max allowed continus discharge current</t>
  </si>
  <si>
    <t>0x312</t>
  </si>
  <si>
    <t>BMS_MNT_MaxChargeCurrent_A</t>
  </si>
  <si>
    <t>Max allowed charge current</t>
  </si>
  <si>
    <t>0x314</t>
  </si>
  <si>
    <t>BMS_MNT_BatteryMaxCellTemp_C</t>
  </si>
  <si>
    <t>最大单体温度
Temperture of the cell which has highest temperature</t>
  </si>
  <si>
    <t>0x315</t>
  </si>
  <si>
    <t>BMS_MNT_BatteryMinCellTemp_C</t>
  </si>
  <si>
    <t>最小单体温度
Temperture of the cell which has lowest temperature</t>
  </si>
  <si>
    <t>0x316</t>
  </si>
  <si>
    <t>BMS_MNT_ChargeMosTemp_C</t>
  </si>
  <si>
    <t>BMS charge MOS temperature</t>
  </si>
  <si>
    <t>0x317</t>
  </si>
  <si>
    <t>BMS_MNT_DischargeMosTemp_C</t>
  </si>
  <si>
    <t>BMS discharge MOS temperature</t>
  </si>
  <si>
    <t>0x318</t>
  </si>
  <si>
    <t>BMS_MNT_ChargeOverTempProtect_C</t>
  </si>
  <si>
    <t>Setting value of charge over temperaure protection</t>
  </si>
  <si>
    <t>0x319</t>
  </si>
  <si>
    <t>BMS_MNT_ChargeLowTempProtect_C</t>
  </si>
  <si>
    <t>Setting value of charge low temperaure protection</t>
  </si>
  <si>
    <t>0x320</t>
  </si>
  <si>
    <t>BMS_MNT_DischargeOverTempProtect_C</t>
  </si>
  <si>
    <t>Setting value of discharge over temperaure protection</t>
  </si>
  <si>
    <t>0x321</t>
  </si>
  <si>
    <t>BMS_MNT_DischargeLowTempProtect_C</t>
  </si>
  <si>
    <t>Setting value of discharge low temperaure protection</t>
  </si>
  <si>
    <t>0x322</t>
  </si>
  <si>
    <t>BMS_MNT_ChargeMosStatus</t>
  </si>
  <si>
    <t>BMS charge status
0: OFF
1: ON</t>
  </si>
  <si>
    <t>0x323</t>
  </si>
  <si>
    <t>BMS_MNT_DischargeMosStatus</t>
  </si>
  <si>
    <t>BMS discharge status
0: OFF
1: ON</t>
  </si>
  <si>
    <t>0x324</t>
  </si>
  <si>
    <t>BMS_MNT_ChargerConnection</t>
  </si>
  <si>
    <t>Charger connection status
0: Charger is not connected to battery
1: Charger is connected to battery</t>
  </si>
  <si>
    <t>0x325</t>
  </si>
  <si>
    <t>BMS_MNT_CellLowVoltageProtect_mV</t>
  </si>
  <si>
    <t>Low voltage protection voltage of the cell</t>
  </si>
  <si>
    <t>0x326</t>
  </si>
  <si>
    <t>BMS_MNT_CellVoltage_1_4_mV</t>
  </si>
  <si>
    <t>Voltage of cells：
Byte 0~1: Cell1
Byte 2~3: Cell2
Byte 4~5: Cell3
Byte 6~7: Cell4</t>
  </si>
  <si>
    <t>0x327</t>
  </si>
  <si>
    <t>BMS_MNT_CellVoltage_5_8_mV</t>
  </si>
  <si>
    <t>Voltage of cells：
Byte 0~1: Cell5
Byte 2~3: Cell6
Byte 4~5: Cell7
Byte 6~7: Cell8</t>
  </si>
  <si>
    <t>0x328</t>
  </si>
  <si>
    <t>BMS_MNT_CellVoltage_9_12_mV</t>
  </si>
  <si>
    <t>Voltage of cells：
Byte 0~1: Cell9
Byte 2~3: Cell10
Byte 4~5: Cell11
Byte 6~7: Cell12</t>
  </si>
  <si>
    <t>0x329</t>
  </si>
  <si>
    <t>BMS_MNT_CellVoltage_13_16_mV</t>
  </si>
  <si>
    <t>Voltage of cells：
Byte 0~1: Cell13
Byte 2~3: Cell14
Byte 4~5: Cell15
Byte 6~7: Cell16</t>
  </si>
  <si>
    <t>0x330</t>
  </si>
  <si>
    <t>BMS_MNT_BatteryMaxCellVoltage_V</t>
  </si>
  <si>
    <t>最大单体电压
The cell voltage which have the max voltage</t>
  </si>
  <si>
    <t>0x331</t>
  </si>
  <si>
    <t>BMS_MNT_BatteryMinCellVoltage_V</t>
  </si>
  <si>
    <t>最小单体电压
The cell voltage which have the min voltage</t>
  </si>
  <si>
    <t>0x332</t>
  </si>
  <si>
    <t>BMS_MNT_MaxCellDifferVoltage_V</t>
  </si>
  <si>
    <t>单节电芯最大压差
Maximum voltage difference of a cell</t>
  </si>
  <si>
    <t>0x333</t>
  </si>
  <si>
    <t>BMS_MNT_CellTemp1_C</t>
  </si>
  <si>
    <t>电芯温度1
Cell temperature 1</t>
  </si>
  <si>
    <t>0x334</t>
  </si>
  <si>
    <t>BMS_MNT_CellTemp2_C</t>
  </si>
  <si>
    <t>电芯温度2
Cell temperature 2</t>
  </si>
  <si>
    <t>0x335</t>
  </si>
  <si>
    <t>BMS_MNT_CellTemp3_C</t>
  </si>
  <si>
    <t>电芯温度3
Cell temperature 3</t>
  </si>
  <si>
    <t>0x336</t>
  </si>
  <si>
    <t>BMS_MNT_CellsInSeries</t>
  </si>
  <si>
    <t>电芯串联数量
Number of cells in series</t>
  </si>
  <si>
    <t>0x337</t>
  </si>
  <si>
    <t>BMS_MNT_CellsInParallel</t>
  </si>
  <si>
    <t>电电芯并联数量
Number of cells in parallel</t>
  </si>
  <si>
    <t>0x338</t>
  </si>
  <si>
    <t>BMS_MNT_RealTimeClock</t>
  </si>
  <si>
    <t>0x339</t>
  </si>
  <si>
    <t>BMS_MNT_BMSModel</t>
  </si>
  <si>
    <t>BMS型号
Model name of the BMS</t>
  </si>
  <si>
    <t>0x340</t>
  </si>
  <si>
    <t>BMS_MNT_CellModel</t>
  </si>
  <si>
    <t>电芯型号
Model name of the cell</t>
  </si>
  <si>
    <t>0x341</t>
  </si>
  <si>
    <t>BMS_MNT_Log</t>
  </si>
  <si>
    <t>BMS log传输报文
Log of BMS</t>
  </si>
  <si>
    <t>8.7 IoT Diagnostic Messages (0x400~0x47F)</t>
  </si>
  <si>
    <t>IOT_CFG_SetIoTName</t>
  </si>
  <si>
    <t>IOT_INF_ReadIoTName</t>
  </si>
  <si>
    <t>BikeStolen</t>
  </si>
  <si>
    <t>8.7 DiagBox Diagnostic Messages (0x740~0x77F)</t>
  </si>
  <si>
    <t>0x740</t>
  </si>
  <si>
    <t>DBX_CTL_SystemPowerControl</t>
  </si>
  <si>
    <t>Diag Box</t>
  </si>
  <si>
    <t>DiagBox 36V output power control
0: 36V output off
1: 36V output on</t>
  </si>
  <si>
    <t>0x741</t>
  </si>
  <si>
    <t>DBX_CTL_CANTerminalResistSel</t>
  </si>
  <si>
    <t>CAN terminal resistance selection
0: 4.8 Kohm
1: 120 Kohm
2: 60 Kohm
3~255: Invalid value</t>
  </si>
  <si>
    <t>0x742</t>
  </si>
  <si>
    <t>DBX_CTL_SetWakeUp</t>
  </si>
  <si>
    <t>DiagBox wakeup signal control
0: Wakeup not enabled (open-drain)
1: Wakeup enabled (low level)</t>
  </si>
  <si>
    <t>0x743</t>
  </si>
  <si>
    <t>DBX_MNT_SystemVoltage_V</t>
  </si>
  <si>
    <t>Read system output voltage</t>
  </si>
  <si>
    <t>0x744</t>
  </si>
  <si>
    <t>DBX_CTL_CommModeControl</t>
  </si>
  <si>
    <t>0: Auto Switch
1: CAN mode 
2: UART mode</t>
  </si>
  <si>
    <t>8.8 Engineer Test Messages (0x780~0x7AF)</t>
  </si>
  <si>
    <t>Engineer Test Command (optional)</t>
  </si>
  <si>
    <t>0x780</t>
  </si>
  <si>
    <t>ENGR_CTL_SetDigitIO</t>
  </si>
  <si>
    <t>Set MCU digit IO level</t>
  </si>
  <si>
    <t>0x781</t>
  </si>
  <si>
    <t>ENGR_MNT_ReadDigitIO</t>
  </si>
  <si>
    <t>Read MCU digit IO level</t>
  </si>
  <si>
    <t>0x782</t>
  </si>
  <si>
    <t>ENGR_CTL_SetPWM</t>
  </si>
  <si>
    <t>Set MCU PWM percentage</t>
  </si>
  <si>
    <t>0x783</t>
  </si>
  <si>
    <t>ENGR_MNT_ReadAD</t>
  </si>
  <si>
    <t xml:space="preserve">Read MCU ADC value of each channel </t>
  </si>
  <si>
    <t>0x784</t>
  </si>
  <si>
    <t>ENGR_MNT_ReadCap</t>
  </si>
  <si>
    <t xml:space="preserve">Read MCU Cap value of each channel </t>
  </si>
  <si>
    <t>0x785</t>
  </si>
  <si>
    <t>ENGR_MNT_ReadTimer</t>
  </si>
  <si>
    <t xml:space="preserve">Read MCU timer value of each channel </t>
  </si>
  <si>
    <t>0x786</t>
  </si>
  <si>
    <t>ENGR_MNT_WriteMemoryByAddr</t>
  </si>
  <si>
    <t>Write date to required address  of the MCU</t>
  </si>
  <si>
    <t>0x787</t>
  </si>
  <si>
    <t>ENGR_MNT_ReadMemoryByAddr</t>
  </si>
  <si>
    <t>Read date to required address  of the MCU</t>
  </si>
  <si>
    <t>ECU Test Command (optional)</t>
  </si>
  <si>
    <t>0x790</t>
  </si>
  <si>
    <t>ENGR_CTL_TestCommand</t>
  </si>
  <si>
    <t>Byte 0：CMDA value
Byte 1：CMDB value
Byte 2：CMDC value
Byte 3：CMDD value
Byte 4：CMDE value</t>
  </si>
  <si>
    <t>0x791</t>
  </si>
  <si>
    <t>ENGR_MNT_Monitor0_1</t>
  </si>
  <si>
    <t>PERIODIC</t>
  </si>
  <si>
    <t>Byte 0-1：Signal1 value
Byte 2-3：Signal1 factor
Byte 4-5：Signal2 value
Byte 6-7：Signal2 factor
PhysicalValue = Signal value / factor</t>
  </si>
  <si>
    <t>0x792</t>
  </si>
  <si>
    <t>ENGR_MNT_Monitor2_3</t>
  </si>
  <si>
    <t>Same with ENGR_MNT_Monitor2_3</t>
  </si>
  <si>
    <t>0x793</t>
  </si>
  <si>
    <t>ENGR_MNT_Monitor4_5</t>
  </si>
  <si>
    <t>Same with ENGR_MNT_Monitor4_5</t>
  </si>
  <si>
    <t>0x794</t>
  </si>
  <si>
    <t>ENGR_MNT_Monitor6_7</t>
  </si>
  <si>
    <t>Same with ENGR_MNT_Monitor6_7</t>
  </si>
  <si>
    <t>0x795</t>
  </si>
  <si>
    <t>ENGR_MNT_Monitor8_9</t>
  </si>
  <si>
    <t>Same with ENGR_MNT_Monitor8_9</t>
  </si>
  <si>
    <t>0x796</t>
  </si>
  <si>
    <t>ENGR_MNT_Monitor10_11</t>
  </si>
  <si>
    <t>Same with ENGR_MNT_Monitor10_11</t>
  </si>
  <si>
    <t>0x797</t>
  </si>
  <si>
    <t>ENGR_MNT_Monitor12_13</t>
  </si>
  <si>
    <t>Same with ENGR_MNT_Monitor12_13</t>
  </si>
  <si>
    <t>0x798</t>
  </si>
  <si>
    <t>ENGR_MNT_Monitor14_15</t>
  </si>
  <si>
    <t>Same with ENGR_MNT_Monitor14_15</t>
  </si>
  <si>
    <t>0x7B0</t>
  </si>
  <si>
    <t>ENGR_MNT_MonitorName0</t>
  </si>
  <si>
    <t>Byte 0-7：Name of signal 0 by string</t>
  </si>
  <si>
    <t>0x7B1</t>
  </si>
  <si>
    <t>ENGR_MNT_MonitorName1</t>
  </si>
  <si>
    <t>Byte 0-7：Name of signal 1 by string</t>
  </si>
  <si>
    <t>0x7B2</t>
  </si>
  <si>
    <t>ENGR_MNT_MonitorName2</t>
  </si>
  <si>
    <t>Byte 0-7：Name of signal 2 by string</t>
  </si>
  <si>
    <t>0x7B3</t>
  </si>
  <si>
    <t>ENGR_MNT_MonitorName3</t>
  </si>
  <si>
    <t>Byte 0-7：Name of signal 3 by string</t>
  </si>
  <si>
    <t>0x7B4</t>
  </si>
  <si>
    <t>ENGR_MNT_MonitorName4</t>
  </si>
  <si>
    <t>Byte 0-7：Name of signal 4 by string</t>
  </si>
  <si>
    <t>0x7B5</t>
  </si>
  <si>
    <t>ENGR_MNT_MonitorName5</t>
  </si>
  <si>
    <t>Byte 0-7：Name of signal 5 by string</t>
  </si>
  <si>
    <t>0x7B6</t>
  </si>
  <si>
    <t>ENGR_MNT_MonitorName6</t>
  </si>
  <si>
    <t>Byte 0-7：Name of signal 6 by string</t>
  </si>
  <si>
    <t>0x7B7</t>
  </si>
  <si>
    <t>ENGR_MNT_MonitorName7</t>
  </si>
  <si>
    <t>Byte 0-7：Name of signal 7 by string</t>
  </si>
  <si>
    <t>0x7B8</t>
  </si>
  <si>
    <t>ENGR_MNT_MonitorName8</t>
  </si>
  <si>
    <t>Byte 0-7：Name of signal 8 by string</t>
  </si>
  <si>
    <t>0x7B9</t>
  </si>
  <si>
    <t>ENGR_MNT_MonitorName9</t>
  </si>
  <si>
    <t>Byte 0-7：Name of signal 9 by string</t>
  </si>
  <si>
    <t>0x7BA</t>
  </si>
  <si>
    <t>ENGR_MNT_MonitorName10</t>
  </si>
  <si>
    <t>Byte 0-7：Name of signal 10 by string</t>
  </si>
  <si>
    <t>0x7BB</t>
  </si>
  <si>
    <t>ENGR_MNT_MonitorName11</t>
  </si>
  <si>
    <t>Byte 0-7：Name of signal 11 by string</t>
  </si>
  <si>
    <t>0x7BC</t>
  </si>
  <si>
    <t>ENGR_MNT_MonitorName12</t>
  </si>
  <si>
    <t>Byte 0-7：Name of signal 12 by string</t>
  </si>
  <si>
    <t>0x7BD</t>
  </si>
  <si>
    <t>ENGR_MNT_MonitorName13</t>
  </si>
  <si>
    <t>Byte 0-7：Name of signal 13 by string</t>
  </si>
  <si>
    <t>0x7BE</t>
  </si>
  <si>
    <t>ENGR_MNT_MonitorName14</t>
  </si>
  <si>
    <t>Byte 0-7：Name of signal 14 by string</t>
  </si>
  <si>
    <t>0x7BF</t>
  </si>
  <si>
    <t>ENGR_MNT_MonitorName15</t>
  </si>
  <si>
    <t>Byte 0-7：Name of signal 15 by string</t>
  </si>
  <si>
    <t>Manufacture Test Command (optional)</t>
  </si>
  <si>
    <t>0x7A0</t>
  </si>
  <si>
    <t>MFG_MNT_SensorParam</t>
  </si>
  <si>
    <t>Byte 0：SIG_BikeSpeed_KMH (0.5)
Byte 1：SIG_Cadence_RPM
Byte 2：(Bit 0~1) SIG_CadenceDir
             (Bit 2~3) SIG_BrakeState
Byte 3：SIG_FootTorque_NM
Byte 4：SIG_TorqueZero_V (0.02)
Byte 5：SIG_TorqeuVoltage_V (0.02)
Byte 6：SIG_ThrottleVoltage_V (0.02)
Byte 7：SIG_ThrottleOutput_Pct</t>
  </si>
  <si>
    <t>0x7A1</t>
  </si>
  <si>
    <t>MFG_MNT_TempParam</t>
  </si>
  <si>
    <t>Byte 0: SIG_ControllerTemperature_C (Offset -40)
Byte 1: SIG_MotorTemperature_C (Offset -40)
Byte 2~3: SIG_WheelPerimeter_MM</t>
  </si>
  <si>
    <t>0x7A2</t>
  </si>
  <si>
    <t>MFG_MNT_MotorParam</t>
  </si>
  <si>
    <t>Byte 0~1: SIG_BatteryVoltage_V (0.01)
Byte 2~3: SIG_BatteryCurrent_A (0.01)
Byte 4~5: SIG_MotorPhaseCurrent_A （0.01）
Byte 6~7: SIG_MotorSpeed_RPM</t>
  </si>
  <si>
    <t>0x7A3</t>
  </si>
  <si>
    <t>MFG_CTL_MotorControl</t>
  </si>
  <si>
    <t>Byte 0:  (Bit 0~1) SIG_MotorControlByDiag
            (Bit 2~3) SIG_MotorEnabled
            (Bit 4~5) SIG_MotorDriveMode
Byte 1: reserved
Byte 2~3: SIG_MotorPhaseCurrentRef_A (0.01)
Byte 4~5: SIG_MotorSpeedRef_RPM</t>
  </si>
  <si>
    <t>0x7A4</t>
  </si>
  <si>
    <t>MFG_CTL_DynamicPhase</t>
  </si>
  <si>
    <t>Byte 0:  Test Phase. 
             0 - stop test
             1 - Phase 1
             2 - Phase 2
             3 - Phase 3
Byte 1~7: Received</t>
  </si>
  <si>
    <t>History</t>
  </si>
  <si>
    <t>Version</t>
  </si>
  <si>
    <t>Auther</t>
  </si>
  <si>
    <t>Date</t>
  </si>
  <si>
    <t>V0.1</t>
  </si>
  <si>
    <t>First release</t>
  </si>
  <si>
    <t>Fischer</t>
  </si>
  <si>
    <t>V0.2</t>
  </si>
  <si>
    <t>Update Software version, hardware version definition</t>
  </si>
  <si>
    <t>V0.3</t>
  </si>
  <si>
    <t>1.Add Diagnostic message of MC, HMI, BMS 2024/7/23
2.Add message memorize type 2024/7/23
3.Update format of some messages 2024/7/23
4.Add message ODO time 2024/7/23
5.Add default value for each signal 2024/8/12
6,Add light operate avriable signal 0x224 2024/8/22
7.Change signal offset to aviod singled signal 2024/9/30
9.Add message 0x283 MC_CFG_SmartAvriable 2024/10/4
10.Add message 0x211 MC_CFG_WheelSizeAdjust_Pct 2024/10/10
11.将里程信号的单位改为KM，Factor改为0.0001 2024/10/11
12.0x25C，信号名称改为MC_MNT_EncoderCalibratePhase，信号长度改为2 2024/10/25
13.增加转把启动车速，转把算法类型 2024/11/27
14.Add message 0x28D - MC_CFG_ThrottleSpdLimitSync 2025/3/4
     Change signal MC_CFG_RangeBaseData_WHpKM unit</t>
  </si>
  <si>
    <t>V0.5</t>
  </si>
  <si>
    <t>1.Add English commant for message 0x271 ~ 0x27A, 0x157</t>
  </si>
  <si>
    <t>V0.6</t>
  </si>
  <si>
    <t>1.Add 0x284, 0x285 for Turbo mode</t>
  </si>
  <si>
    <t>V0.7</t>
  </si>
  <si>
    <t>1.Update BMS messages
2.Change message 0x128，0x129 data length to 16 bytes</t>
  </si>
  <si>
    <t>V0.8</t>
  </si>
  <si>
    <t>1.Add HMI configure messages 2025/11/03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</si>
</sst>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theme="1"/>
      <name val="Calibri"/>
      <charset val="134"/>
      <scheme val="minor"/>
    </font>
    <font>
      <sz val="10"/>
      <color theme="1"/>
      <name val="微软雅黑"/>
      <family val="2"/>
      <charset val="134"/>
    </font>
    <font>
      <b/>
      <sz val="12"/>
      <color rgb="FF000000"/>
      <name val="微软雅黑"/>
      <family val="2"/>
      <charset val="134"/>
    </font>
    <font>
      <b/>
      <sz val="9.75"/>
      <color rgb="FF000000"/>
      <name val="微软雅黑"/>
      <family val="2"/>
      <charset val="134"/>
    </font>
    <font>
      <b/>
      <sz val="10"/>
      <color rgb="FF000000"/>
      <name val="微软雅黑"/>
      <family val="2"/>
      <charset val="134"/>
    </font>
    <font>
      <sz val="10"/>
      <color rgb="FF000000"/>
      <name val="微软雅黑"/>
      <family val="2"/>
      <charset val="134"/>
    </font>
    <font>
      <sz val="12"/>
      <color theme="1"/>
      <name val="Calibri"/>
      <family val="4"/>
      <charset val="134"/>
      <scheme val="minor"/>
    </font>
    <font>
      <b/>
      <sz val="12"/>
      <color rgb="FF1F2329"/>
      <name val="微软雅黑"/>
      <family val="2"/>
      <charset val="134"/>
    </font>
    <font>
      <b/>
      <sz val="10"/>
      <color rgb="FF1F2329"/>
      <name val="微软雅黑"/>
      <family val="2"/>
      <charset val="134"/>
    </font>
    <font>
      <sz val="10"/>
      <color rgb="FF1F2329"/>
      <name val="微软雅黑"/>
      <family val="2"/>
      <charset val="134"/>
    </font>
    <font>
      <sz val="10.5"/>
      <color rgb="FF000000"/>
      <name val="等线"/>
      <family val="4"/>
      <charset val="134"/>
    </font>
    <font>
      <sz val="9.75"/>
      <color rgb="FF1F2329"/>
      <name val="微软雅黑"/>
      <family val="2"/>
      <charset val="134"/>
    </font>
    <font>
      <b/>
      <sz val="9.75"/>
      <color rgb="FF1F2329"/>
      <name val="微软雅黑"/>
      <family val="2"/>
      <charset val="134"/>
    </font>
    <font>
      <sz val="9.75"/>
      <color rgb="FF1F2329"/>
      <name val="Calibri"/>
      <family val="4"/>
      <charset val="134"/>
      <scheme val="minor"/>
    </font>
    <font>
      <sz val="10"/>
      <color rgb="FF1F2329"/>
      <name val="等线"/>
      <family val="4"/>
      <charset val="134"/>
    </font>
    <font>
      <sz val="10"/>
      <color rgb="FF1F2329"/>
      <name val="Calibri"/>
      <family val="4"/>
      <charset val="134"/>
      <scheme val="minor"/>
    </font>
    <font>
      <sz val="10"/>
      <color rgb="FF000000"/>
      <name val="等线"/>
      <family val="4"/>
      <charset val="134"/>
    </font>
    <font>
      <b/>
      <sz val="10"/>
      <color theme="1"/>
      <name val="微软雅黑"/>
      <family val="2"/>
      <charset val="134"/>
    </font>
    <font>
      <sz val="9.75"/>
      <color rgb="FF000000"/>
      <name val="微软雅黑"/>
      <family val="2"/>
      <charset val="134"/>
    </font>
    <font>
      <sz val="10"/>
      <color rgb="FFFF0000"/>
      <name val="微软雅黑"/>
      <family val="2"/>
      <charset val="134"/>
    </font>
    <font>
      <b/>
      <sz val="10.5"/>
      <color rgb="FF1F2329"/>
      <name val="微软雅黑"/>
      <family val="2"/>
      <charset val="134"/>
    </font>
    <font>
      <sz val="10.5"/>
      <color rgb="FF1F2329"/>
      <name val="微软雅黑"/>
      <family val="2"/>
      <charset val="134"/>
    </font>
    <font>
      <b/>
      <sz val="13.5"/>
      <color rgb="FF000000"/>
      <name val="微软雅黑"/>
      <family val="2"/>
      <charset val="134"/>
    </font>
    <font>
      <b/>
      <sz val="14"/>
      <color rgb="FF000000"/>
      <name val="微软雅黑"/>
      <family val="2"/>
      <charset val="134"/>
    </font>
    <font>
      <b/>
      <sz val="9.75"/>
      <color rgb="FF000000"/>
      <name val="Calibri"/>
      <family val="4"/>
      <charset val="134"/>
      <scheme val="minor"/>
    </font>
    <font>
      <sz val="12"/>
      <color rgb="FF000000"/>
      <name val="微软雅黑"/>
      <family val="2"/>
      <charset val="134"/>
    </font>
  </fonts>
  <fills count="7">
    <fill>
      <patternFill patternType="none"/>
    </fill>
    <fill>
      <patternFill patternType="gray125"/>
    </fill>
    <fill>
      <patternFill patternType="solid">
        <fgColor rgb="FFDEE0E3"/>
        <bgColor indexed="64"/>
      </patternFill>
    </fill>
    <fill>
      <patternFill patternType="solid">
        <fgColor rgb="FFD9D9D9"/>
        <bgColor indexed="64"/>
      </patternFill>
    </fill>
    <fill>
      <patternFill patternType="solid">
        <fgColor rgb="FFFFF2CC"/>
        <bgColor indexed="64"/>
      </patternFill>
    </fill>
    <fill>
      <patternFill patternType="solid">
        <fgColor rgb="FFFFFF00"/>
        <bgColor indexed="64"/>
      </patternFill>
    </fill>
    <fill>
      <patternFill patternType="solid">
        <fgColor rgb="FFE2F0D9"/>
        <bgColor indexed="64"/>
      </patternFill>
    </fill>
  </fills>
  <borders count="26">
    <border>
      <left/>
      <right/>
      <top/>
      <bottom/>
      <diagonal/>
    </border>
    <border>
      <left/>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bottom style="thin">
        <color rgb="FF000000"/>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000000"/>
      </right>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1F2329"/>
      </right>
      <top/>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diagonal/>
    </border>
    <border>
      <left style="thin">
        <color auto="1"/>
      </left>
      <right/>
      <top/>
      <bottom style="thin">
        <color auto="1"/>
      </bottom>
      <diagonal/>
    </border>
    <border>
      <left style="thin">
        <color rgb="FF1F2329"/>
      </left>
      <right style="thin">
        <color auto="1"/>
      </right>
      <top/>
      <bottom style="thin">
        <color rgb="FF1F2329"/>
      </bottom>
      <diagonal/>
    </border>
    <border>
      <left style="thin">
        <color rgb="FF1F2329"/>
      </left>
      <right/>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rgb="FF000000"/>
      </right>
      <top/>
      <bottom style="thin">
        <color rgb="FF1F2329"/>
      </bottom>
      <diagonal/>
    </border>
    <border>
      <left/>
      <right style="thin">
        <color auto="1"/>
      </right>
      <top/>
      <bottom style="thin">
        <color auto="1"/>
      </bottom>
      <diagonal/>
    </border>
    <border>
      <left/>
      <right style="thin">
        <color rgb="FF1F2329"/>
      </right>
      <top style="thin">
        <color rgb="FF1F2329"/>
      </top>
      <bottom/>
      <diagonal/>
    </border>
  </borders>
  <cellStyleXfs count="1">
    <xf numFmtId="0" fontId="0" fillId="0" borderId="0" applyNumberFormat="0" applyFont="0" applyFill="0" applyBorder="0" applyProtection="0"/>
  </cellStyleXfs>
  <cellXfs count="154">
    <xf numFmtId="0" fontId="0" fillId="0" borderId="0" xfId="0" applyAlignment="1">
      <alignment vertical="center"/>
    </xf>
    <xf numFmtId="0" fontId="1" fillId="0" borderId="0" xfId="0" applyFont="1" applyAlignment="1">
      <alignment vertical="center"/>
    </xf>
    <xf numFmtId="0" fontId="3" fillId="0" borderId="0" xfId="0" applyFont="1" applyBorder="1" applyAlignment="1">
      <alignmen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14" fontId="5" fillId="0" borderId="2" xfId="0" applyNumberFormat="1" applyFont="1" applyBorder="1" applyAlignment="1">
      <alignment horizontal="center" vertical="center"/>
    </xf>
    <xf numFmtId="0" fontId="6" fillId="0" borderId="0" xfId="0" applyFont="1" applyAlignment="1">
      <alignment vertical="center"/>
    </xf>
    <xf numFmtId="0" fontId="0" fillId="0" borderId="0" xfId="0" applyFont="1" applyAlignment="1">
      <alignment vertical="center"/>
    </xf>
    <xf numFmtId="0" fontId="1" fillId="0" borderId="0" xfId="0" applyFont="1" applyAlignment="1">
      <alignment horizontal="center" vertical="center"/>
    </xf>
    <xf numFmtId="0" fontId="7"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9" fillId="0" borderId="3" xfId="0" applyFont="1" applyBorder="1" applyAlignment="1">
      <alignment horizontal="center" vertical="center" wrapText="1"/>
    </xf>
    <xf numFmtId="0" fontId="5" fillId="0" borderId="3" xfId="0" applyFont="1" applyBorder="1" applyAlignment="1">
      <alignment horizontal="center" vertical="center"/>
    </xf>
    <xf numFmtId="0" fontId="9" fillId="0" borderId="3" xfId="0" applyFont="1" applyBorder="1" applyAlignment="1">
      <alignment vertical="center"/>
    </xf>
    <xf numFmtId="0" fontId="9" fillId="0" borderId="2" xfId="0" applyFont="1" applyBorder="1" applyAlignment="1">
      <alignment vertical="center"/>
    </xf>
    <xf numFmtId="0" fontId="8" fillId="0" borderId="8" xfId="0" applyFont="1" applyBorder="1" applyAlignment="1">
      <alignment horizontal="center" vertical="center" wrapText="1"/>
    </xf>
    <xf numFmtId="0" fontId="10" fillId="0" borderId="2" xfId="0" applyFont="1" applyBorder="1" applyAlignment="1">
      <alignment vertical="center" wrapText="1"/>
    </xf>
    <xf numFmtId="0" fontId="11" fillId="0" borderId="3" xfId="0" applyFont="1" applyBorder="1" applyAlignment="1">
      <alignment horizontal="center" vertical="center" wrapText="1"/>
    </xf>
    <xf numFmtId="0" fontId="9" fillId="0" borderId="2" xfId="0" applyFont="1" applyBorder="1" applyAlignment="1">
      <alignment horizontal="center" vertical="center" wrapText="1"/>
    </xf>
    <xf numFmtId="0" fontId="7" fillId="0" borderId="4" xfId="0" applyFont="1" applyBorder="1" applyAlignment="1">
      <alignment horizontal="center" vertical="center"/>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8" fillId="0" borderId="5" xfId="0" applyNumberFormat="1" applyFont="1" applyBorder="1" applyAlignment="1">
      <alignment horizontal="center" vertical="center" wrapText="1"/>
    </xf>
    <xf numFmtId="0" fontId="8" fillId="0" borderId="8" xfId="0" applyNumberFormat="1" applyFont="1" applyBorder="1" applyAlignment="1">
      <alignment horizontal="center" vertical="center" wrapText="1"/>
    </xf>
    <xf numFmtId="0" fontId="9" fillId="0" borderId="8" xfId="0" applyFont="1" applyBorder="1" applyAlignment="1">
      <alignment horizontal="center" vertical="center" wrapText="1"/>
    </xf>
    <xf numFmtId="0" fontId="9" fillId="0" borderId="11" xfId="0" applyFont="1" applyBorder="1" applyAlignment="1">
      <alignment horizontal="center" vertical="center" wrapText="1"/>
    </xf>
    <xf numFmtId="0" fontId="9" fillId="3" borderId="8"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8" fillId="2" borderId="12" xfId="0" applyFont="1" applyFill="1" applyBorder="1" applyAlignment="1">
      <alignment horizontal="center" vertical="center"/>
    </xf>
    <xf numFmtId="0" fontId="9" fillId="0" borderId="3" xfId="0" applyFont="1" applyBorder="1" applyAlignment="1">
      <alignment horizontal="left" vertical="center" wrapText="1"/>
    </xf>
    <xf numFmtId="0" fontId="9" fillId="0" borderId="2" xfId="0" applyFont="1" applyBorder="1" applyAlignment="1">
      <alignment horizontal="left" vertical="center" wrapText="1"/>
    </xf>
    <xf numFmtId="0" fontId="9" fillId="4" borderId="3" xfId="0" applyFont="1" applyFill="1" applyBorder="1" applyAlignment="1">
      <alignment horizontal="center" vertical="center" wrapText="1"/>
    </xf>
    <xf numFmtId="0" fontId="5" fillId="4" borderId="3" xfId="0" applyFont="1" applyFill="1" applyBorder="1" applyAlignment="1">
      <alignment horizontal="center" vertical="center"/>
    </xf>
    <xf numFmtId="0" fontId="9" fillId="4" borderId="3" xfId="0" applyFont="1" applyFill="1" applyBorder="1" applyAlignment="1">
      <alignment vertical="center"/>
    </xf>
    <xf numFmtId="0" fontId="10" fillId="4" borderId="2" xfId="0" applyFont="1" applyFill="1" applyBorder="1" applyAlignment="1">
      <alignment vertical="center" wrapText="1"/>
    </xf>
    <xf numFmtId="0" fontId="9" fillId="4" borderId="2"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9" fillId="4" borderId="3" xfId="0" applyFont="1" applyFill="1" applyBorder="1" applyAlignment="1">
      <alignment horizontal="left" vertical="center" wrapText="1"/>
    </xf>
    <xf numFmtId="0" fontId="12" fillId="0" borderId="13" xfId="0" applyFont="1" applyBorder="1" applyAlignment="1">
      <alignment horizontal="center" vertical="center" wrapText="1"/>
    </xf>
    <xf numFmtId="0" fontId="11" fillId="0" borderId="2" xfId="0" applyFont="1" applyBorder="1" applyAlignment="1">
      <alignment horizontal="center" vertical="center" wrapText="1"/>
    </xf>
    <xf numFmtId="0" fontId="9" fillId="0" borderId="8" xfId="0" applyFont="1" applyBorder="1" applyAlignment="1">
      <alignment horizontal="left" vertical="center" wrapText="1"/>
    </xf>
    <xf numFmtId="0" fontId="11" fillId="0" borderId="8" xfId="0" applyFont="1" applyBorder="1" applyAlignment="1">
      <alignment horizontal="left" vertical="center" wrapText="1"/>
    </xf>
    <xf numFmtId="0" fontId="11" fillId="0" borderId="2" xfId="0" applyFont="1" applyBorder="1" applyAlignment="1">
      <alignment horizontal="left" vertical="center" wrapText="1"/>
    </xf>
    <xf numFmtId="0" fontId="8" fillId="0" borderId="14" xfId="0" applyFont="1" applyBorder="1" applyAlignment="1">
      <alignment horizontal="center" vertical="center" wrapText="1"/>
    </xf>
    <xf numFmtId="0" fontId="9" fillId="0" borderId="8" xfId="0" applyFont="1" applyBorder="1" applyAlignment="1">
      <alignment vertical="center"/>
    </xf>
    <xf numFmtId="0" fontId="13" fillId="0" borderId="2" xfId="0" applyFont="1" applyBorder="1" applyAlignment="1">
      <alignment horizontal="left" vertical="center" wrapText="1"/>
    </xf>
    <xf numFmtId="0" fontId="13" fillId="0" borderId="15" xfId="0" applyFont="1" applyBorder="1" applyAlignment="1">
      <alignment horizontal="left" vertical="center" wrapText="1"/>
    </xf>
    <xf numFmtId="0" fontId="0" fillId="0" borderId="0" xfId="0" applyAlignment="1">
      <alignment horizontal="center" vertical="center"/>
    </xf>
    <xf numFmtId="0" fontId="9" fillId="0" borderId="8"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14" fillId="0" borderId="8" xfId="0" applyFont="1" applyFill="1" applyBorder="1" applyAlignment="1">
      <alignment horizontal="left" vertical="center" wrapText="1"/>
    </xf>
    <xf numFmtId="0" fontId="9" fillId="0" borderId="3" xfId="0" applyFont="1" applyFill="1" applyBorder="1" applyAlignment="1">
      <alignment horizontal="center" vertical="center" wrapText="1"/>
    </xf>
    <xf numFmtId="0" fontId="14" fillId="0" borderId="8" xfId="0" applyFont="1" applyBorder="1" applyAlignment="1">
      <alignment horizontal="center" vertical="center" wrapText="1"/>
    </xf>
    <xf numFmtId="0" fontId="15" fillId="0" borderId="8" xfId="0" applyFont="1" applyBorder="1" applyAlignment="1">
      <alignment horizontal="center" vertical="center" wrapText="1"/>
    </xf>
    <xf numFmtId="0" fontId="1" fillId="0" borderId="4" xfId="0" applyFont="1" applyBorder="1" applyAlignment="1">
      <alignment vertical="center"/>
    </xf>
    <xf numFmtId="0" fontId="1" fillId="0" borderId="4" xfId="0" applyFont="1" applyBorder="1" applyAlignment="1">
      <alignment horizontal="center" vertical="center"/>
    </xf>
    <xf numFmtId="0" fontId="9" fillId="0" borderId="2" xfId="0" applyFont="1" applyFill="1" applyBorder="1" applyAlignment="1">
      <alignment horizontal="left" vertical="center" wrapText="1"/>
    </xf>
    <xf numFmtId="0" fontId="15" fillId="0" borderId="8" xfId="0" applyFont="1" applyBorder="1" applyAlignment="1">
      <alignment horizontal="left" vertical="center" wrapText="1"/>
    </xf>
    <xf numFmtId="0" fontId="14" fillId="0" borderId="8" xfId="0" applyFont="1" applyBorder="1" applyAlignment="1">
      <alignment horizontal="left" vertical="center" wrapText="1"/>
    </xf>
    <xf numFmtId="0" fontId="14" fillId="5" borderId="8" xfId="0" applyFont="1" applyFill="1" applyBorder="1" applyAlignment="1">
      <alignment horizontal="left" vertical="center" wrapText="1"/>
    </xf>
    <xf numFmtId="0" fontId="16" fillId="0" borderId="0" xfId="0" applyFont="1" applyAlignment="1">
      <alignment vertical="center"/>
    </xf>
    <xf numFmtId="0" fontId="8" fillId="0" borderId="16" xfId="0" applyFont="1" applyBorder="1" applyAlignment="1">
      <alignment horizontal="center" vertical="center" wrapText="1"/>
    </xf>
    <xf numFmtId="0" fontId="9" fillId="5" borderId="8" xfId="0" applyFont="1" applyFill="1" applyBorder="1" applyAlignment="1">
      <alignment horizontal="left" vertical="center" wrapText="1"/>
    </xf>
    <xf numFmtId="0" fontId="9" fillId="0" borderId="8" xfId="0" applyFont="1" applyFill="1" applyBorder="1" applyAlignment="1">
      <alignment horizontal="left" vertical="center" wrapText="1"/>
    </xf>
    <xf numFmtId="0" fontId="1" fillId="0" borderId="0" xfId="0" applyFont="1" applyFill="1" applyAlignment="1">
      <alignment horizontal="left" vertical="center"/>
    </xf>
    <xf numFmtId="0" fontId="1" fillId="0" borderId="0" xfId="0" applyFont="1" applyFill="1" applyAlignment="1">
      <alignment vertical="center"/>
    </xf>
    <xf numFmtId="0" fontId="17" fillId="0" borderId="0" xfId="0" applyFont="1" applyFill="1" applyAlignment="1">
      <alignment vertical="center"/>
    </xf>
    <xf numFmtId="0" fontId="17" fillId="0" borderId="0" xfId="0" applyFont="1" applyAlignment="1">
      <alignment vertical="center"/>
    </xf>
    <xf numFmtId="0" fontId="1" fillId="0" borderId="0" xfId="0" applyFont="1" applyAlignment="1">
      <alignment horizontal="left" vertical="center"/>
    </xf>
    <xf numFmtId="0" fontId="8" fillId="0" borderId="13" xfId="0" applyFont="1" applyBorder="1" applyAlignment="1">
      <alignment horizontal="center" vertical="center" wrapText="1"/>
    </xf>
    <xf numFmtId="0" fontId="8" fillId="3" borderId="7" xfId="0" applyFont="1" applyFill="1" applyBorder="1" applyAlignment="1">
      <alignment horizontal="left" vertical="center"/>
    </xf>
    <xf numFmtId="0" fontId="9" fillId="0" borderId="2" xfId="0" applyFont="1" applyFill="1" applyBorder="1" applyAlignment="1">
      <alignment horizontal="center" vertical="center" wrapText="1"/>
    </xf>
    <xf numFmtId="0" fontId="9" fillId="0" borderId="3"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0" fillId="0" borderId="2" xfId="0" applyFont="1" applyFill="1" applyBorder="1" applyAlignment="1">
      <alignment vertical="center" wrapText="1"/>
    </xf>
    <xf numFmtId="0" fontId="8" fillId="3" borderId="7" xfId="0" applyFont="1" applyFill="1" applyBorder="1" applyAlignment="1">
      <alignment horizontal="center" vertical="center"/>
    </xf>
    <xf numFmtId="0" fontId="9" fillId="0" borderId="17" xfId="0" applyFont="1" applyBorder="1" applyAlignment="1">
      <alignment horizontal="center" vertical="center" wrapText="1"/>
    </xf>
    <xf numFmtId="0" fontId="9" fillId="0" borderId="17"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4" borderId="17" xfId="0" applyFont="1" applyFill="1" applyBorder="1" applyAlignment="1">
      <alignment horizontal="center" vertical="center" wrapText="1"/>
    </xf>
    <xf numFmtId="0" fontId="7" fillId="0" borderId="4" xfId="0" applyFont="1" applyBorder="1" applyAlignment="1">
      <alignment horizontal="left" vertical="center" wrapText="1"/>
    </xf>
    <xf numFmtId="0" fontId="8" fillId="3" borderId="12" xfId="0" applyFont="1" applyFill="1" applyBorder="1" applyAlignment="1">
      <alignment horizontal="left" vertical="center"/>
    </xf>
    <xf numFmtId="0" fontId="8" fillId="3" borderId="6" xfId="0" applyFont="1" applyFill="1" applyBorder="1" applyAlignment="1">
      <alignment horizontal="left" vertical="center"/>
    </xf>
    <xf numFmtId="0" fontId="9" fillId="0" borderId="15" xfId="0" applyFont="1" applyBorder="1" applyAlignment="1">
      <alignment horizontal="left" vertical="center" wrapText="1"/>
    </xf>
    <xf numFmtId="0" fontId="11" fillId="0" borderId="15" xfId="0" applyFont="1" applyBorder="1" applyAlignment="1">
      <alignment horizontal="left" vertical="center" wrapText="1"/>
    </xf>
    <xf numFmtId="0" fontId="9" fillId="6" borderId="2" xfId="0" applyFont="1" applyFill="1" applyBorder="1" applyAlignment="1">
      <alignment horizontal="center" vertical="center" wrapText="1"/>
    </xf>
    <xf numFmtId="0" fontId="9" fillId="6" borderId="2" xfId="0" applyFont="1" applyFill="1" applyBorder="1" applyAlignment="1">
      <alignment horizontal="left" vertical="center" wrapText="1"/>
    </xf>
    <xf numFmtId="0" fontId="9" fillId="5" borderId="2" xfId="0" applyFont="1" applyFill="1" applyBorder="1" applyAlignment="1">
      <alignment horizontal="center" vertical="center" wrapText="1"/>
    </xf>
    <xf numFmtId="0" fontId="9" fillId="5" borderId="2" xfId="0" applyFont="1" applyFill="1" applyBorder="1" applyAlignment="1">
      <alignment horizontal="left" vertical="center" wrapText="1"/>
    </xf>
    <xf numFmtId="0" fontId="9" fillId="5" borderId="3" xfId="0" applyFont="1" applyFill="1" applyBorder="1" applyAlignment="1">
      <alignment horizontal="center" vertical="center" wrapText="1"/>
    </xf>
    <xf numFmtId="0" fontId="10" fillId="5" borderId="2" xfId="0" applyFont="1" applyFill="1" applyBorder="1" applyAlignment="1">
      <alignment vertical="center" wrapText="1"/>
    </xf>
    <xf numFmtId="0" fontId="9" fillId="0" borderId="15" xfId="0" applyFont="1" applyBorder="1" applyAlignment="1">
      <alignment horizontal="center" vertical="center" wrapText="1"/>
    </xf>
    <xf numFmtId="0" fontId="9" fillId="5" borderId="17"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5" fillId="0" borderId="0" xfId="0" applyFont="1" applyAlignment="1">
      <alignment horizontal="center" vertical="center"/>
    </xf>
    <xf numFmtId="0" fontId="8" fillId="2" borderId="18"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20" xfId="0" applyFont="1" applyFill="1" applyBorder="1" applyAlignment="1">
      <alignment horizontal="center" vertical="center"/>
    </xf>
    <xf numFmtId="0" fontId="5" fillId="0" borderId="15" xfId="0" applyFont="1" applyBorder="1" applyAlignment="1">
      <alignment horizontal="center" vertical="center"/>
    </xf>
    <xf numFmtId="0" fontId="5" fillId="0" borderId="15" xfId="0" applyFont="1" applyBorder="1" applyAlignment="1">
      <alignment horizontal="left" vertical="center" wrapText="1"/>
    </xf>
    <xf numFmtId="0" fontId="5" fillId="0" borderId="21" xfId="0" applyFont="1" applyBorder="1" applyAlignment="1">
      <alignment horizontal="center" vertical="center"/>
    </xf>
    <xf numFmtId="0" fontId="5" fillId="0" borderId="21" xfId="0" applyFont="1" applyBorder="1" applyAlignment="1">
      <alignment horizontal="left" vertical="center" wrapText="1"/>
    </xf>
    <xf numFmtId="0" fontId="5" fillId="0" borderId="3" xfId="0" applyFont="1" applyBorder="1" applyAlignment="1">
      <alignment horizontal="left"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2" xfId="0" applyFont="1" applyFill="1" applyBorder="1" applyAlignment="1">
      <alignment horizontal="left" vertical="center" wrapText="1"/>
    </xf>
    <xf numFmtId="0" fontId="5" fillId="5" borderId="2" xfId="0" applyFont="1" applyFill="1" applyBorder="1" applyAlignment="1">
      <alignment horizontal="center" vertical="center"/>
    </xf>
    <xf numFmtId="0" fontId="9" fillId="0" borderId="13" xfId="0" applyFont="1" applyBorder="1" applyAlignment="1">
      <alignment horizontal="center" vertical="center" wrapText="1"/>
    </xf>
    <xf numFmtId="0" fontId="5" fillId="0" borderId="8" xfId="0" applyFont="1" applyBorder="1" applyAlignment="1">
      <alignment horizontal="center" vertical="center"/>
    </xf>
    <xf numFmtId="0" fontId="5" fillId="4" borderId="8" xfId="0" applyFont="1" applyFill="1" applyBorder="1" applyAlignment="1">
      <alignment horizontal="center" vertical="center"/>
    </xf>
    <xf numFmtId="0" fontId="9" fillId="4" borderId="8" xfId="0" applyFont="1" applyFill="1" applyBorder="1" applyAlignment="1">
      <alignment horizontal="left" vertical="center" wrapText="1"/>
    </xf>
    <xf numFmtId="0" fontId="18"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9" fillId="0" borderId="21" xfId="0" applyFont="1" applyBorder="1" applyAlignment="1">
      <alignment horizontal="center" vertical="center" wrapText="1"/>
    </xf>
    <xf numFmtId="0" fontId="9" fillId="4" borderId="21" xfId="0" applyFont="1" applyFill="1" applyBorder="1" applyAlignment="1">
      <alignment horizontal="center" vertical="center" wrapText="1"/>
    </xf>
    <xf numFmtId="0" fontId="9" fillId="4" borderId="22" xfId="0" applyFont="1" applyFill="1" applyBorder="1" applyAlignment="1">
      <alignment horizontal="center" vertical="center" wrapText="1"/>
    </xf>
    <xf numFmtId="0" fontId="8" fillId="2" borderId="23" xfId="0" applyFont="1" applyFill="1" applyBorder="1" applyAlignment="1">
      <alignment horizontal="center" vertical="center"/>
    </xf>
    <xf numFmtId="0" fontId="9" fillId="0" borderId="18" xfId="0" applyFont="1" applyBorder="1" applyAlignment="1">
      <alignment horizontal="center" vertical="center" wrapText="1"/>
    </xf>
    <xf numFmtId="0" fontId="9" fillId="4" borderId="18" xfId="0" applyFont="1" applyFill="1" applyBorder="1" applyAlignment="1">
      <alignment horizontal="center" vertical="center" wrapText="1"/>
    </xf>
    <xf numFmtId="0" fontId="8" fillId="0" borderId="24" xfId="0" applyFont="1" applyBorder="1" applyAlignment="1">
      <alignment horizontal="center" vertical="center" wrapText="1"/>
    </xf>
    <xf numFmtId="0" fontId="8" fillId="2" borderId="9" xfId="0" applyFont="1" applyFill="1" applyBorder="1" applyAlignment="1">
      <alignment horizontal="center" vertical="center"/>
    </xf>
    <xf numFmtId="0" fontId="9" fillId="0" borderId="9" xfId="0" applyFont="1" applyBorder="1" applyAlignment="1">
      <alignment horizontal="left" vertical="center" wrapText="1"/>
    </xf>
    <xf numFmtId="0" fontId="8" fillId="2" borderId="10" xfId="0" applyFont="1" applyFill="1" applyBorder="1" applyAlignment="1">
      <alignment horizontal="center" vertical="center"/>
    </xf>
    <xf numFmtId="0" fontId="9" fillId="0" borderId="21" xfId="0" applyFont="1" applyBorder="1" applyAlignment="1">
      <alignment horizontal="left" vertical="center" wrapText="1"/>
    </xf>
    <xf numFmtId="0" fontId="19" fillId="0" borderId="2" xfId="0" applyFont="1" applyFill="1" applyBorder="1" applyAlignment="1">
      <alignment horizontal="left" vertical="center" wrapText="1"/>
    </xf>
    <xf numFmtId="0" fontId="9" fillId="0" borderId="10" xfId="0" applyFont="1" applyBorder="1" applyAlignment="1">
      <alignment horizontal="left" vertical="center" wrapText="1"/>
    </xf>
    <xf numFmtId="0" fontId="9" fillId="0" borderId="25" xfId="0" applyFont="1" applyBorder="1" applyAlignment="1">
      <alignment horizontal="left" vertical="center" wrapText="1"/>
    </xf>
    <xf numFmtId="0" fontId="9" fillId="0" borderId="22" xfId="0" applyFont="1" applyBorder="1" applyAlignment="1">
      <alignment horizontal="left" vertical="center" wrapText="1"/>
    </xf>
    <xf numFmtId="0" fontId="9" fillId="4" borderId="22" xfId="0" applyFont="1" applyFill="1" applyBorder="1" applyAlignment="1">
      <alignment horizontal="left" vertical="center" wrapText="1"/>
    </xf>
    <xf numFmtId="0" fontId="19" fillId="0" borderId="0" xfId="0" applyFont="1" applyAlignment="1">
      <alignment vertical="center"/>
    </xf>
    <xf numFmtId="0" fontId="21" fillId="0" borderId="2" xfId="0" applyFont="1" applyBorder="1" applyAlignment="1">
      <alignment horizontal="left" vertical="center" wrapText="1"/>
    </xf>
    <xf numFmtId="0" fontId="21" fillId="0" borderId="3" xfId="0" applyFont="1" applyBorder="1" applyAlignment="1">
      <alignment horizontal="left" vertical="center" wrapText="1"/>
    </xf>
    <xf numFmtId="0" fontId="0" fillId="0" borderId="0" xfId="0" applyBorder="1"/>
    <xf numFmtId="0" fontId="24" fillId="0" borderId="0" xfId="0" applyFont="1" applyBorder="1" applyAlignment="1">
      <alignment horizontal="center" vertical="center"/>
    </xf>
    <xf numFmtId="0" fontId="2" fillId="0" borderId="2" xfId="0" applyFont="1" applyBorder="1" applyAlignment="1">
      <alignment horizontal="center" vertical="center"/>
    </xf>
    <xf numFmtId="0" fontId="25" fillId="0" borderId="2" xfId="0" applyFont="1" applyBorder="1" applyAlignment="1">
      <alignment horizontal="left" vertical="center"/>
    </xf>
    <xf numFmtId="0" fontId="22" fillId="0" borderId="0" xfId="0" applyFont="1" applyBorder="1" applyAlignment="1">
      <alignment horizontal="center" vertical="center"/>
    </xf>
    <xf numFmtId="0" fontId="2" fillId="0" borderId="0" xfId="0" quotePrefix="1" applyFont="1" applyBorder="1" applyAlignment="1">
      <alignment horizontal="right" vertical="center"/>
    </xf>
    <xf numFmtId="0" fontId="2" fillId="0" borderId="0" xfId="0" applyFont="1" applyBorder="1" applyAlignment="1">
      <alignment horizontal="right" vertical="center"/>
    </xf>
    <xf numFmtId="0" fontId="23" fillId="0" borderId="1" xfId="0" applyFont="1" applyBorder="1" applyAlignment="1">
      <alignment horizontal="center" vertical="center"/>
    </xf>
    <xf numFmtId="0" fontId="2" fillId="0" borderId="1" xfId="0" applyFont="1" applyBorder="1" applyAlignment="1">
      <alignment horizontal="center" vertical="center"/>
    </xf>
    <xf numFmtId="0" fontId="20" fillId="2" borderId="3" xfId="0" applyFont="1" applyFill="1" applyBorder="1" applyAlignment="1">
      <alignment horizontal="left" vertical="center" wrapText="1"/>
    </xf>
    <xf numFmtId="0" fontId="21" fillId="0" borderId="2" xfId="0" applyFont="1" applyBorder="1" applyAlignment="1">
      <alignment horizontal="left" vertical="center" wrapText="1"/>
    </xf>
    <xf numFmtId="0" fontId="20" fillId="2" borderId="2" xfId="0" applyFont="1" applyFill="1" applyBorder="1" applyAlignment="1">
      <alignment horizontal="left" vertical="center" wrapText="1"/>
    </xf>
  </cellXfs>
  <cellStyles count="1">
    <cellStyle name="Normal" xfId="0" builtinId="0"/>
  </cellStyles>
  <dxfs count="1">
    <dxf>
      <fill>
        <patternFill patternType="solid">
          <bgColor rgb="FFFF0C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43">
    <open main="219" threadCnt="1"/>
    <sheetInfos>
      <sheetInfo cellCmpFml="0" sheetStid="2">
        <open main="63" threadCnt="1"/>
      </sheetInfo>
      <sheetInfo cellCmpFml="0" sheetStid="3">
        <open threadCnt="1"/>
      </sheetInfo>
      <sheetInfo cellCmpFml="7" sheetStid="4">
        <open main="1" threadCnt="1"/>
      </sheetInfo>
      <sheetInfo cellCmpFml="27" sheetStid="5">
        <open main="7" threadCnt="1"/>
      </sheetInfo>
      <sheetInfo cellCmpFml="1" sheetStid="6">
        <open main="1" threadCnt="1"/>
      </sheetInfo>
      <sheetInfo cellCmpFml="3" sheetStid="7">
        <open main="1" threadCnt="1"/>
      </sheetInfo>
      <sheetInfo cellCmpFml="1" sheetStid="14">
        <open threadCnt="1"/>
      </sheetInfo>
      <sheetInfo cellCmpFml="0" sheetStid="9">
        <open threadCnt="1"/>
      </sheetInfo>
      <sheetInfo cellCmpFml="4" sheetStid="16">
        <open main="2" threadCnt="1"/>
      </sheetInfo>
      <sheetInfo cellCmpFml="0" sheetStid="10">
        <open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www.wps.cn/officeDocument/2023/relationships/woinfos" Target="woinfo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www.wps.cn/officeDocument/2023/relationships/customStorage" Target="customStorage/customStorage.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ustomStorage/customStorage.xml><?xml version="1.0" encoding="utf-8"?>
<customStorage xmlns="https://web.wps.cn/et/2018/main">
  <book/>
  <sheets/>
</customStorage>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C11"/>
  <sheetViews>
    <sheetView showGridLines="0" view="pageLayout" zoomScale="90" zoomScaleNormal="100" zoomScalePageLayoutView="90" workbookViewId="0">
      <selection activeCell="C8" sqref="C8"/>
    </sheetView>
  </sheetViews>
  <sheetFormatPr baseColWidth="10" defaultColWidth="14" defaultRowHeight="14"/>
  <cols>
    <col min="1" max="1" width="4.19921875" customWidth="1"/>
    <col min="2" max="2" width="25" customWidth="1"/>
    <col min="3" max="3" width="130.796875" customWidth="1"/>
  </cols>
  <sheetData>
    <row r="1" spans="1:3" ht="34" customHeight="1">
      <c r="A1" s="142"/>
      <c r="B1" s="146" t="s">
        <v>0</v>
      </c>
      <c r="C1" s="146"/>
    </row>
    <row r="2" spans="1:3" ht="34" customHeight="1">
      <c r="A2" s="142"/>
      <c r="B2" s="147" t="s">
        <v>1</v>
      </c>
      <c r="C2" s="148"/>
    </row>
    <row r="3" spans="1:3" ht="34" customHeight="1">
      <c r="B3" s="149" t="s">
        <v>2</v>
      </c>
      <c r="C3" s="149"/>
    </row>
    <row r="4" spans="1:3" ht="34" customHeight="1">
      <c r="A4" s="143"/>
      <c r="B4" s="144" t="s">
        <v>3</v>
      </c>
      <c r="C4" s="144" t="s">
        <v>4</v>
      </c>
    </row>
    <row r="5" spans="1:3" ht="34" customHeight="1">
      <c r="B5" s="145" t="s">
        <v>5</v>
      </c>
      <c r="C5" s="145" t="s">
        <v>6</v>
      </c>
    </row>
    <row r="6" spans="1:3" ht="34" customHeight="1">
      <c r="B6" s="145" t="s">
        <v>7</v>
      </c>
      <c r="C6" s="145" t="s">
        <v>8</v>
      </c>
    </row>
    <row r="7" spans="1:3" ht="34" customHeight="1">
      <c r="B7" s="145" t="s">
        <v>9</v>
      </c>
      <c r="C7" s="145" t="s">
        <v>10</v>
      </c>
    </row>
    <row r="8" spans="1:3" ht="34" customHeight="1">
      <c r="B8" s="145" t="s">
        <v>11</v>
      </c>
      <c r="C8" s="145" t="s">
        <v>12</v>
      </c>
    </row>
    <row r="9" spans="1:3" ht="34" customHeight="1">
      <c r="B9" s="145" t="s">
        <v>13</v>
      </c>
      <c r="C9" s="145" t="s">
        <v>14</v>
      </c>
    </row>
    <row r="10" spans="1:3" ht="34" customHeight="1">
      <c r="B10" s="145" t="s">
        <v>15</v>
      </c>
      <c r="C10" s="145" t="s">
        <v>16</v>
      </c>
    </row>
    <row r="11" spans="1:3" ht="34" customHeight="1">
      <c r="B11" s="145" t="s">
        <v>17</v>
      </c>
      <c r="C11" s="145" t="s">
        <v>18</v>
      </c>
    </row>
  </sheetData>
  <sheetProtection formatCells="0" insertHyperlinks="0" autoFilter="0"/>
  <mergeCells count="3">
    <mergeCell ref="B1:C1"/>
    <mergeCell ref="B2:C2"/>
    <mergeCell ref="B3:C3"/>
  </mergeCells>
  <pageMargins left="0.7" right="0.7" top="0.75" bottom="0.75" header="0.3" footer="0.3"/>
  <pageSetup paperSize="9" scale="77" fitToHeight="0" orientation="portrait"/>
  <headerFooter>
    <oddHeader>&amp;R&amp;G</oddHeader>
    <oddFooter>&amp;C第 &amp;P 页，共 &amp;N 页</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B1:C22"/>
  <sheetViews>
    <sheetView showGridLines="0" view="pageLayout" zoomScaleNormal="100" workbookViewId="0">
      <selection activeCell="B1" sqref="B1:C1"/>
    </sheetView>
  </sheetViews>
  <sheetFormatPr baseColWidth="10" defaultColWidth="14" defaultRowHeight="16"/>
  <cols>
    <col min="1" max="1" width="4.19921875" style="1" customWidth="1"/>
    <col min="2" max="2" width="22" style="1" customWidth="1"/>
    <col min="3" max="3" width="94.796875" style="1" customWidth="1"/>
    <col min="4" max="16384" width="14" style="1"/>
  </cols>
  <sheetData>
    <row r="1" spans="2:3" ht="36" customHeight="1">
      <c r="B1" s="150" t="s">
        <v>19</v>
      </c>
      <c r="C1" s="150"/>
    </row>
    <row r="2" spans="2:3" ht="36" customHeight="1">
      <c r="B2" s="151" t="s">
        <v>20</v>
      </c>
      <c r="C2" s="151"/>
    </row>
    <row r="3" spans="2:3" ht="36" customHeight="1">
      <c r="B3" s="152" t="s">
        <v>21</v>
      </c>
      <c r="C3" s="152"/>
    </row>
    <row r="4" spans="2:3" ht="36" customHeight="1">
      <c r="B4" s="152"/>
      <c r="C4" s="152"/>
    </row>
    <row r="5" spans="2:3" ht="36" customHeight="1">
      <c r="B5" s="151" t="s">
        <v>22</v>
      </c>
      <c r="C5" s="151"/>
    </row>
    <row r="6" spans="2:3" ht="36" customHeight="1">
      <c r="B6" s="140" t="s">
        <v>23</v>
      </c>
      <c r="C6" s="140" t="s">
        <v>24</v>
      </c>
    </row>
    <row r="7" spans="2:3" ht="36" customHeight="1">
      <c r="B7" s="152"/>
      <c r="C7" s="152"/>
    </row>
    <row r="8" spans="2:3" ht="36" customHeight="1">
      <c r="B8" s="153" t="s">
        <v>25</v>
      </c>
      <c r="C8" s="153"/>
    </row>
    <row r="9" spans="2:3" ht="36" customHeight="1">
      <c r="B9" s="140" t="s">
        <v>26</v>
      </c>
      <c r="C9" s="140" t="s">
        <v>27</v>
      </c>
    </row>
    <row r="10" spans="2:3" ht="36" customHeight="1">
      <c r="B10" s="140" t="s">
        <v>28</v>
      </c>
      <c r="C10" s="140" t="s">
        <v>29</v>
      </c>
    </row>
    <row r="11" spans="2:3" ht="36" customHeight="1">
      <c r="B11" s="140" t="s">
        <v>30</v>
      </c>
      <c r="C11" s="140" t="s">
        <v>31</v>
      </c>
    </row>
    <row r="12" spans="2:3" ht="36" customHeight="1">
      <c r="B12" s="140" t="s">
        <v>32</v>
      </c>
      <c r="C12" s="140" t="s">
        <v>33</v>
      </c>
    </row>
    <row r="13" spans="2:3" ht="36" customHeight="1">
      <c r="B13" s="140" t="s">
        <v>34</v>
      </c>
      <c r="C13" s="140" t="s">
        <v>35</v>
      </c>
    </row>
    <row r="14" spans="2:3" ht="36" customHeight="1">
      <c r="B14" s="140" t="s">
        <v>36</v>
      </c>
      <c r="C14" s="140" t="s">
        <v>37</v>
      </c>
    </row>
    <row r="15" spans="2:3" ht="36" customHeight="1">
      <c r="B15" s="140" t="s">
        <v>38</v>
      </c>
      <c r="C15" s="140" t="s">
        <v>39</v>
      </c>
    </row>
    <row r="16" spans="2:3" ht="36" customHeight="1">
      <c r="B16" s="140" t="s">
        <v>40</v>
      </c>
      <c r="C16" s="140" t="s">
        <v>41</v>
      </c>
    </row>
    <row r="17" spans="2:3" ht="36" customHeight="1">
      <c r="B17" s="152"/>
      <c r="C17" s="152"/>
    </row>
    <row r="18" spans="2:3" ht="36" customHeight="1">
      <c r="B18" s="153" t="s">
        <v>42</v>
      </c>
      <c r="C18" s="153"/>
    </row>
    <row r="19" spans="2:3" ht="57" customHeight="1">
      <c r="B19" s="140" t="s">
        <v>43</v>
      </c>
      <c r="C19" s="140" t="s">
        <v>44</v>
      </c>
    </row>
    <row r="20" spans="2:3" ht="57" customHeight="1">
      <c r="B20" s="141" t="s">
        <v>45</v>
      </c>
      <c r="C20" s="141" t="s">
        <v>46</v>
      </c>
    </row>
    <row r="21" spans="2:3" ht="57" customHeight="1">
      <c r="B21" s="140" t="s">
        <v>47</v>
      </c>
      <c r="C21" s="140" t="s">
        <v>48</v>
      </c>
    </row>
    <row r="22" spans="2:3" ht="57" customHeight="1">
      <c r="B22" s="140" t="s">
        <v>49</v>
      </c>
      <c r="C22" s="140" t="s">
        <v>50</v>
      </c>
    </row>
  </sheetData>
  <sheetProtection formatCells="0" insertHyperlinks="0" autoFilter="0"/>
  <mergeCells count="9">
    <mergeCell ref="B7:C7"/>
    <mergeCell ref="B8:C8"/>
    <mergeCell ref="B17:C17"/>
    <mergeCell ref="B18:C18"/>
    <mergeCell ref="B1:C1"/>
    <mergeCell ref="B2:C2"/>
    <mergeCell ref="B3:C3"/>
    <mergeCell ref="B4:C4"/>
    <mergeCell ref="B5:C5"/>
  </mergeCells>
  <pageMargins left="0.7" right="0.7" top="0.75" bottom="0.75" header="0.3" footer="0.3"/>
  <pageSetup paperSize="9" scale="81" fitToHeight="0" orientation="portrait"/>
  <headerFooter>
    <oddHeader>&amp;R&amp;G</oddHead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38"/>
  <sheetViews>
    <sheetView showGridLines="0" zoomScaleNormal="100" workbookViewId="0">
      <pane ySplit="2" topLeftCell="A3" activePane="bottomLeft" state="frozen"/>
      <selection pane="bottomLeft" activeCell="O10" sqref="O10"/>
    </sheetView>
  </sheetViews>
  <sheetFormatPr baseColWidth="10" defaultColWidth="14" defaultRowHeight="16"/>
  <cols>
    <col min="1" max="1" width="9" style="1" customWidth="1"/>
    <col min="2" max="2" width="15" style="1" customWidth="1"/>
    <col min="3" max="4" width="31" style="1" customWidth="1"/>
    <col min="5" max="18" width="15.59765625" style="1" customWidth="1"/>
    <col min="19" max="20" width="18" style="11" customWidth="1"/>
    <col min="21" max="21" width="42.19921875" style="1" customWidth="1"/>
    <col min="22" max="16384" width="14" style="1"/>
  </cols>
  <sheetData>
    <row r="1" spans="1:21" s="9" customFormat="1" ht="36" customHeight="1">
      <c r="A1" s="12"/>
      <c r="B1" s="12"/>
      <c r="C1" s="12"/>
      <c r="D1" s="12"/>
      <c r="E1" s="12"/>
      <c r="F1" s="12"/>
      <c r="G1" s="12"/>
      <c r="H1" s="12"/>
      <c r="I1" s="12"/>
      <c r="J1" s="12"/>
      <c r="K1" s="24" t="s">
        <v>51</v>
      </c>
      <c r="L1" s="12"/>
      <c r="M1" s="12"/>
      <c r="N1" s="12"/>
      <c r="O1" s="12"/>
      <c r="P1" s="12"/>
      <c r="Q1" s="12"/>
      <c r="R1" s="12"/>
      <c r="S1" s="12"/>
      <c r="T1" s="12"/>
      <c r="U1" s="12"/>
    </row>
    <row r="2" spans="1:21" s="10" customFormat="1" ht="36" hidden="1" customHeight="1">
      <c r="A2" s="13" t="s">
        <v>52</v>
      </c>
      <c r="B2" s="13" t="s">
        <v>53</v>
      </c>
      <c r="C2" s="13" t="s">
        <v>54</v>
      </c>
      <c r="D2" s="20" t="s">
        <v>55</v>
      </c>
      <c r="E2" s="20" t="s">
        <v>56</v>
      </c>
      <c r="F2" s="20" t="s">
        <v>57</v>
      </c>
      <c r="G2" s="20" t="s">
        <v>58</v>
      </c>
      <c r="H2" s="13" t="s">
        <v>59</v>
      </c>
      <c r="I2" s="13" t="s">
        <v>60</v>
      </c>
      <c r="J2" s="13" t="s">
        <v>61</v>
      </c>
      <c r="K2" s="13" t="s">
        <v>62</v>
      </c>
      <c r="L2" s="13" t="s">
        <v>63</v>
      </c>
      <c r="M2" s="13" t="s">
        <v>64</v>
      </c>
      <c r="N2" s="13" t="s">
        <v>65</v>
      </c>
      <c r="O2" s="13" t="s">
        <v>66</v>
      </c>
      <c r="P2" s="13" t="s">
        <v>67</v>
      </c>
      <c r="Q2" s="13" t="s">
        <v>68</v>
      </c>
      <c r="R2" s="13" t="s">
        <v>69</v>
      </c>
      <c r="S2" s="27" t="s">
        <v>70</v>
      </c>
      <c r="T2" s="28" t="s">
        <v>71</v>
      </c>
      <c r="U2" s="129" t="s">
        <v>72</v>
      </c>
    </row>
    <row r="3" spans="1:21" s="10" customFormat="1" ht="43" customHeight="1">
      <c r="A3" s="102"/>
      <c r="B3" s="103"/>
      <c r="C3" s="103"/>
      <c r="D3" s="103"/>
      <c r="E3" s="103"/>
      <c r="F3" s="103"/>
      <c r="G3" s="103"/>
      <c r="H3" s="103"/>
      <c r="I3" s="103"/>
      <c r="J3" s="103"/>
      <c r="K3" s="103" t="s">
        <v>73</v>
      </c>
      <c r="L3" s="103"/>
      <c r="M3" s="103"/>
      <c r="N3" s="103"/>
      <c r="O3" s="103"/>
      <c r="P3" s="103"/>
      <c r="Q3" s="103"/>
      <c r="R3" s="103"/>
      <c r="S3" s="103"/>
      <c r="T3" s="126"/>
      <c r="U3" s="130"/>
    </row>
    <row r="4" spans="1:21" s="10" customFormat="1" ht="136">
      <c r="A4" s="16">
        <f t="shared" ref="A4:A8" si="0">ROW()-3</f>
        <v>1</v>
      </c>
      <c r="B4" s="17" t="s">
        <v>74</v>
      </c>
      <c r="C4" s="34" t="s">
        <v>75</v>
      </c>
      <c r="D4" s="16" t="s">
        <v>76</v>
      </c>
      <c r="E4" s="16">
        <v>0</v>
      </c>
      <c r="F4" s="21" t="s">
        <v>77</v>
      </c>
      <c r="G4" s="22" t="s">
        <v>78</v>
      </c>
      <c r="H4" s="16" t="s">
        <v>79</v>
      </c>
      <c r="I4" s="16">
        <v>1</v>
      </c>
      <c r="J4" s="16">
        <v>0</v>
      </c>
      <c r="K4" s="16">
        <v>1</v>
      </c>
      <c r="L4" s="16">
        <v>0</v>
      </c>
      <c r="M4" s="16">
        <v>2</v>
      </c>
      <c r="N4" s="16">
        <v>0</v>
      </c>
      <c r="O4" s="16" t="s">
        <v>80</v>
      </c>
      <c r="P4" s="16" t="s">
        <v>81</v>
      </c>
      <c r="Q4" s="16" t="s">
        <v>82</v>
      </c>
      <c r="R4" s="16" t="s">
        <v>82</v>
      </c>
      <c r="S4" s="83" t="s">
        <v>83</v>
      </c>
      <c r="T4" s="30" t="s">
        <v>84</v>
      </c>
      <c r="U4" s="131" t="s">
        <v>85</v>
      </c>
    </row>
    <row r="5" spans="1:21" s="10" customFormat="1" ht="77.5" customHeight="1">
      <c r="A5" s="16">
        <f t="shared" si="0"/>
        <v>2</v>
      </c>
      <c r="B5" s="5" t="s">
        <v>86</v>
      </c>
      <c r="C5" s="7" t="s">
        <v>87</v>
      </c>
      <c r="D5" s="16" t="s">
        <v>76</v>
      </c>
      <c r="E5" s="16">
        <v>0</v>
      </c>
      <c r="F5" s="21" t="s">
        <v>77</v>
      </c>
      <c r="G5" s="22" t="s">
        <v>78</v>
      </c>
      <c r="H5" s="16" t="s">
        <v>79</v>
      </c>
      <c r="I5" s="23">
        <v>1</v>
      </c>
      <c r="J5" s="23">
        <v>0</v>
      </c>
      <c r="K5" s="23">
        <v>1</v>
      </c>
      <c r="L5" s="23">
        <v>0</v>
      </c>
      <c r="M5" s="23">
        <v>1</v>
      </c>
      <c r="N5" s="23">
        <v>1</v>
      </c>
      <c r="O5" s="23" t="s">
        <v>80</v>
      </c>
      <c r="P5" s="16" t="s">
        <v>81</v>
      </c>
      <c r="Q5" s="16" t="s">
        <v>82</v>
      </c>
      <c r="R5" s="16" t="s">
        <v>82</v>
      </c>
      <c r="S5" s="83" t="s">
        <v>83</v>
      </c>
      <c r="T5" s="30" t="s">
        <v>84</v>
      </c>
      <c r="U5" s="35" t="s">
        <v>88</v>
      </c>
    </row>
    <row r="6" spans="1:21" s="10" customFormat="1" ht="60" customHeight="1">
      <c r="A6" s="16">
        <f t="shared" si="0"/>
        <v>3</v>
      </c>
      <c r="B6" s="5" t="s">
        <v>89</v>
      </c>
      <c r="C6" s="35" t="s">
        <v>90</v>
      </c>
      <c r="D6" s="16" t="s">
        <v>76</v>
      </c>
      <c r="E6" s="16">
        <v>0</v>
      </c>
      <c r="F6" s="21" t="s">
        <v>91</v>
      </c>
      <c r="G6" s="22" t="s">
        <v>78</v>
      </c>
      <c r="H6" s="16" t="s">
        <v>79</v>
      </c>
      <c r="I6" s="23">
        <v>1</v>
      </c>
      <c r="J6" s="23">
        <v>0</v>
      </c>
      <c r="K6" s="23">
        <v>1</v>
      </c>
      <c r="L6" s="23">
        <v>0</v>
      </c>
      <c r="M6" s="23">
        <v>255</v>
      </c>
      <c r="N6" s="23">
        <v>0</v>
      </c>
      <c r="O6" s="23" t="s">
        <v>80</v>
      </c>
      <c r="P6" s="16" t="s">
        <v>81</v>
      </c>
      <c r="Q6" s="16" t="s">
        <v>82</v>
      </c>
      <c r="R6" s="16" t="s">
        <v>82</v>
      </c>
      <c r="S6" s="83" t="s">
        <v>83</v>
      </c>
      <c r="T6" s="30" t="s">
        <v>84</v>
      </c>
      <c r="U6" s="35" t="s">
        <v>92</v>
      </c>
    </row>
    <row r="7" spans="1:21" s="10" customFormat="1" ht="52.5" customHeight="1">
      <c r="A7" s="16">
        <f t="shared" si="0"/>
        <v>4</v>
      </c>
      <c r="B7" s="5" t="s">
        <v>93</v>
      </c>
      <c r="C7" s="35" t="s">
        <v>94</v>
      </c>
      <c r="D7" s="16" t="s">
        <v>76</v>
      </c>
      <c r="E7" s="16">
        <v>0</v>
      </c>
      <c r="F7" s="21" t="s">
        <v>77</v>
      </c>
      <c r="G7" s="22" t="s">
        <v>78</v>
      </c>
      <c r="H7" s="16" t="s">
        <v>79</v>
      </c>
      <c r="I7" s="23">
        <v>1</v>
      </c>
      <c r="J7" s="23">
        <v>0</v>
      </c>
      <c r="K7" s="23">
        <v>1</v>
      </c>
      <c r="L7" s="23">
        <v>0</v>
      </c>
      <c r="M7" s="23">
        <v>1</v>
      </c>
      <c r="N7" s="23">
        <v>0</v>
      </c>
      <c r="O7" s="23" t="s">
        <v>80</v>
      </c>
      <c r="P7" s="16" t="s">
        <v>81</v>
      </c>
      <c r="Q7" s="16" t="s">
        <v>80</v>
      </c>
      <c r="R7" s="16" t="s">
        <v>95</v>
      </c>
      <c r="S7" s="83" t="s">
        <v>83</v>
      </c>
      <c r="T7" s="30" t="s">
        <v>84</v>
      </c>
      <c r="U7" s="35" t="s">
        <v>96</v>
      </c>
    </row>
    <row r="8" spans="1:21" s="10" customFormat="1" ht="88" customHeight="1">
      <c r="A8" s="16">
        <f t="shared" si="0"/>
        <v>5</v>
      </c>
      <c r="B8" s="5" t="s">
        <v>97</v>
      </c>
      <c r="C8" s="35" t="s">
        <v>98</v>
      </c>
      <c r="D8" s="16" t="s">
        <v>76</v>
      </c>
      <c r="E8" s="16">
        <v>0</v>
      </c>
      <c r="F8" s="21" t="s">
        <v>77</v>
      </c>
      <c r="G8" s="22" t="s">
        <v>78</v>
      </c>
      <c r="H8" s="23" t="s">
        <v>99</v>
      </c>
      <c r="I8" s="23">
        <v>8</v>
      </c>
      <c r="J8" s="23">
        <v>0</v>
      </c>
      <c r="K8" s="23">
        <v>1</v>
      </c>
      <c r="L8" s="23">
        <v>0</v>
      </c>
      <c r="M8" s="23">
        <v>0</v>
      </c>
      <c r="N8" s="23">
        <v>0</v>
      </c>
      <c r="O8" s="23" t="s">
        <v>80</v>
      </c>
      <c r="P8" s="16" t="s">
        <v>81</v>
      </c>
      <c r="Q8" s="16" t="s">
        <v>82</v>
      </c>
      <c r="R8" s="16" t="s">
        <v>82</v>
      </c>
      <c r="S8" s="83" t="s">
        <v>83</v>
      </c>
      <c r="T8" s="30" t="s">
        <v>84</v>
      </c>
      <c r="U8" s="35" t="s">
        <v>100</v>
      </c>
    </row>
    <row r="9" spans="1:21" s="10" customFormat="1" ht="42" customHeight="1">
      <c r="A9" s="104"/>
      <c r="B9" s="105"/>
      <c r="C9" s="105"/>
      <c r="D9" s="105"/>
      <c r="E9" s="105"/>
      <c r="F9" s="105"/>
      <c r="G9" s="105"/>
      <c r="H9" s="105"/>
      <c r="I9" s="105"/>
      <c r="J9" s="105"/>
      <c r="K9" s="104" t="s">
        <v>101</v>
      </c>
      <c r="L9" s="105"/>
      <c r="M9" s="105"/>
      <c r="N9" s="105"/>
      <c r="O9" s="105"/>
      <c r="P9" s="105"/>
      <c r="Q9" s="105"/>
      <c r="R9" s="105"/>
      <c r="S9" s="105"/>
      <c r="T9" s="105"/>
      <c r="U9" s="132"/>
    </row>
    <row r="10" spans="1:21" s="10" customFormat="1" ht="57" customHeight="1">
      <c r="A10" s="16">
        <f t="shared" ref="A10:A13" si="1">ROW()-4</f>
        <v>6</v>
      </c>
      <c r="B10" s="5" t="s">
        <v>102</v>
      </c>
      <c r="C10" s="7" t="s">
        <v>103</v>
      </c>
      <c r="D10" s="16" t="s">
        <v>76</v>
      </c>
      <c r="E10" s="16">
        <v>0</v>
      </c>
      <c r="F10" s="21" t="s">
        <v>77</v>
      </c>
      <c r="G10" s="22" t="s">
        <v>78</v>
      </c>
      <c r="H10" s="23" t="s">
        <v>99</v>
      </c>
      <c r="I10" s="23">
        <v>8</v>
      </c>
      <c r="J10" s="23">
        <v>0</v>
      </c>
      <c r="K10" s="23">
        <v>1</v>
      </c>
      <c r="L10" s="23">
        <v>0</v>
      </c>
      <c r="M10" s="23">
        <v>0</v>
      </c>
      <c r="N10" s="23">
        <v>0</v>
      </c>
      <c r="O10" s="23" t="s">
        <v>80</v>
      </c>
      <c r="P10" s="16" t="s">
        <v>81</v>
      </c>
      <c r="Q10" s="16" t="s">
        <v>104</v>
      </c>
      <c r="R10" s="16" t="s">
        <v>104</v>
      </c>
      <c r="S10" s="83" t="s">
        <v>83</v>
      </c>
      <c r="T10" s="30" t="s">
        <v>84</v>
      </c>
      <c r="U10" s="35" t="s">
        <v>105</v>
      </c>
    </row>
    <row r="11" spans="1:21" s="10" customFormat="1" ht="46.5" customHeight="1">
      <c r="A11" s="16">
        <f t="shared" si="1"/>
        <v>7</v>
      </c>
      <c r="B11" s="5" t="s">
        <v>106</v>
      </c>
      <c r="C11" s="7" t="s">
        <v>107</v>
      </c>
      <c r="D11" s="16" t="s">
        <v>76</v>
      </c>
      <c r="E11" s="16">
        <v>0</v>
      </c>
      <c r="F11" s="21" t="s">
        <v>77</v>
      </c>
      <c r="G11" s="22" t="s">
        <v>78</v>
      </c>
      <c r="H11" s="23" t="s">
        <v>99</v>
      </c>
      <c r="I11" s="23">
        <v>8</v>
      </c>
      <c r="J11" s="23">
        <v>0</v>
      </c>
      <c r="K11" s="23">
        <v>1</v>
      </c>
      <c r="L11" s="23">
        <v>0</v>
      </c>
      <c r="M11" s="23">
        <v>0</v>
      </c>
      <c r="N11" s="23">
        <v>0</v>
      </c>
      <c r="O11" s="23" t="s">
        <v>80</v>
      </c>
      <c r="P11" s="16" t="s">
        <v>81</v>
      </c>
      <c r="Q11" s="16" t="s">
        <v>104</v>
      </c>
      <c r="R11" s="16" t="s">
        <v>104</v>
      </c>
      <c r="S11" s="83" t="s">
        <v>83</v>
      </c>
      <c r="T11" s="30" t="s">
        <v>84</v>
      </c>
      <c r="U11" s="35" t="s">
        <v>108</v>
      </c>
    </row>
    <row r="12" spans="1:21" s="10" customFormat="1" ht="48" customHeight="1">
      <c r="A12" s="16">
        <f t="shared" si="1"/>
        <v>8</v>
      </c>
      <c r="B12" s="106" t="s">
        <v>109</v>
      </c>
      <c r="C12" s="107" t="s">
        <v>110</v>
      </c>
      <c r="D12" s="16" t="s">
        <v>76</v>
      </c>
      <c r="E12" s="16">
        <v>0</v>
      </c>
      <c r="F12" s="21" t="s">
        <v>77</v>
      </c>
      <c r="G12" s="22" t="s">
        <v>78</v>
      </c>
      <c r="H12" s="23" t="s">
        <v>99</v>
      </c>
      <c r="I12" s="98" t="s">
        <v>111</v>
      </c>
      <c r="J12" s="98">
        <v>0</v>
      </c>
      <c r="K12" s="98">
        <v>1</v>
      </c>
      <c r="L12" s="98">
        <v>0</v>
      </c>
      <c r="M12" s="98">
        <v>0</v>
      </c>
      <c r="N12" s="98">
        <v>0</v>
      </c>
      <c r="O12" s="98" t="s">
        <v>80</v>
      </c>
      <c r="P12" s="16" t="s">
        <v>81</v>
      </c>
      <c r="Q12" s="16" t="s">
        <v>104</v>
      </c>
      <c r="R12" s="16" t="s">
        <v>104</v>
      </c>
      <c r="S12" s="83" t="s">
        <v>83</v>
      </c>
      <c r="T12" s="30" t="s">
        <v>84</v>
      </c>
      <c r="U12" s="90" t="s">
        <v>112</v>
      </c>
    </row>
    <row r="13" spans="1:21" s="10" customFormat="1" ht="60" customHeight="1">
      <c r="A13" s="16">
        <f t="shared" si="1"/>
        <v>9</v>
      </c>
      <c r="B13" s="108" t="s">
        <v>113</v>
      </c>
      <c r="C13" s="109" t="s">
        <v>114</v>
      </c>
      <c r="D13" s="16" t="s">
        <v>76</v>
      </c>
      <c r="E13" s="16">
        <v>0</v>
      </c>
      <c r="F13" s="21" t="s">
        <v>77</v>
      </c>
      <c r="G13" s="22" t="s">
        <v>78</v>
      </c>
      <c r="H13" s="23" t="s">
        <v>99</v>
      </c>
      <c r="I13" s="123" t="s">
        <v>111</v>
      </c>
      <c r="J13" s="123">
        <v>0</v>
      </c>
      <c r="K13" s="123">
        <v>1</v>
      </c>
      <c r="L13" s="123">
        <v>0</v>
      </c>
      <c r="M13" s="123">
        <v>0</v>
      </c>
      <c r="N13" s="123">
        <v>0</v>
      </c>
      <c r="O13" s="123" t="s">
        <v>80</v>
      </c>
      <c r="P13" s="16" t="s">
        <v>81</v>
      </c>
      <c r="Q13" s="16" t="s">
        <v>104</v>
      </c>
      <c r="R13" s="16" t="s">
        <v>104</v>
      </c>
      <c r="S13" s="83" t="s">
        <v>83</v>
      </c>
      <c r="T13" s="30" t="s">
        <v>84</v>
      </c>
      <c r="U13" s="133" t="s">
        <v>115</v>
      </c>
    </row>
    <row r="14" spans="1:21" s="10" customFormat="1" ht="42" customHeight="1">
      <c r="A14" s="14"/>
      <c r="B14" s="15"/>
      <c r="C14" s="15"/>
      <c r="D14" s="15"/>
      <c r="E14" s="15"/>
      <c r="F14" s="15"/>
      <c r="G14" s="15"/>
      <c r="H14" s="15"/>
      <c r="I14" s="15"/>
      <c r="J14" s="15"/>
      <c r="K14" s="15" t="s">
        <v>116</v>
      </c>
      <c r="L14" s="15"/>
      <c r="M14" s="15"/>
      <c r="N14" s="15"/>
      <c r="O14" s="15"/>
      <c r="P14" s="15"/>
      <c r="Q14" s="15"/>
      <c r="R14" s="15"/>
      <c r="S14" s="15"/>
      <c r="T14" s="15"/>
      <c r="U14" s="33"/>
    </row>
    <row r="15" spans="1:21" s="10" customFormat="1" ht="83" customHeight="1">
      <c r="A15" s="16">
        <f>ROW()-5</f>
        <v>10</v>
      </c>
      <c r="B15" s="17" t="s">
        <v>117</v>
      </c>
      <c r="C15" s="110" t="s">
        <v>118</v>
      </c>
      <c r="D15" s="16" t="s">
        <v>76</v>
      </c>
      <c r="E15" s="16">
        <v>0</v>
      </c>
      <c r="F15" s="21" t="s">
        <v>77</v>
      </c>
      <c r="G15" s="22" t="s">
        <v>78</v>
      </c>
      <c r="H15" s="16" t="s">
        <v>79</v>
      </c>
      <c r="I15" s="16">
        <v>1</v>
      </c>
      <c r="J15" s="16">
        <v>0</v>
      </c>
      <c r="K15" s="16">
        <v>1</v>
      </c>
      <c r="L15" s="16">
        <v>0</v>
      </c>
      <c r="M15" s="16">
        <v>2</v>
      </c>
      <c r="N15" s="16">
        <v>0</v>
      </c>
      <c r="O15" s="16" t="s">
        <v>80</v>
      </c>
      <c r="P15" s="23" t="s">
        <v>119</v>
      </c>
      <c r="Q15" s="16" t="s">
        <v>82</v>
      </c>
      <c r="R15" s="16" t="s">
        <v>80</v>
      </c>
      <c r="S15" s="83" t="s">
        <v>83</v>
      </c>
      <c r="T15" s="30" t="s">
        <v>84</v>
      </c>
      <c r="U15" s="34" t="s">
        <v>120</v>
      </c>
    </row>
    <row r="16" spans="1:21" s="10" customFormat="1" ht="65.5" customHeight="1">
      <c r="A16" s="16">
        <f>ROW()-5</f>
        <v>11</v>
      </c>
      <c r="B16" s="5" t="s">
        <v>121</v>
      </c>
      <c r="C16" s="7" t="s">
        <v>122</v>
      </c>
      <c r="D16" s="16" t="s">
        <v>76</v>
      </c>
      <c r="E16" s="16">
        <v>0</v>
      </c>
      <c r="F16" s="21" t="s">
        <v>77</v>
      </c>
      <c r="G16" s="22" t="s">
        <v>78</v>
      </c>
      <c r="H16" s="16" t="s">
        <v>123</v>
      </c>
      <c r="I16" s="23">
        <v>4</v>
      </c>
      <c r="J16" s="23">
        <v>0</v>
      </c>
      <c r="K16" s="23">
        <v>1</v>
      </c>
      <c r="L16" s="23">
        <v>0</v>
      </c>
      <c r="M16" s="23" t="s">
        <v>124</v>
      </c>
      <c r="N16" s="23">
        <v>0</v>
      </c>
      <c r="O16" s="23" t="s">
        <v>80</v>
      </c>
      <c r="P16" s="23" t="s">
        <v>119</v>
      </c>
      <c r="Q16" s="16" t="s">
        <v>82</v>
      </c>
      <c r="R16" s="16" t="s">
        <v>80</v>
      </c>
      <c r="S16" s="16" t="s">
        <v>125</v>
      </c>
      <c r="T16" s="30" t="s">
        <v>84</v>
      </c>
      <c r="U16" s="35" t="s">
        <v>126</v>
      </c>
    </row>
    <row r="17" spans="1:21" s="10" customFormat="1" ht="65.5" customHeight="1">
      <c r="A17" s="16">
        <f>ROW()-5</f>
        <v>12</v>
      </c>
      <c r="B17" s="5" t="s">
        <v>127</v>
      </c>
      <c r="C17" s="35" t="s">
        <v>128</v>
      </c>
      <c r="D17" s="16" t="s">
        <v>76</v>
      </c>
      <c r="E17" s="16">
        <v>0</v>
      </c>
      <c r="F17" s="21" t="s">
        <v>77</v>
      </c>
      <c r="G17" s="22" t="s">
        <v>78</v>
      </c>
      <c r="H17" s="16" t="s">
        <v>123</v>
      </c>
      <c r="I17" s="23">
        <v>4</v>
      </c>
      <c r="J17" s="23">
        <v>0</v>
      </c>
      <c r="K17" s="23">
        <v>1</v>
      </c>
      <c r="L17" s="23">
        <v>0</v>
      </c>
      <c r="M17" s="23" t="s">
        <v>124</v>
      </c>
      <c r="N17" s="23">
        <v>0</v>
      </c>
      <c r="O17" s="23" t="s">
        <v>80</v>
      </c>
      <c r="P17" s="23" t="s">
        <v>119</v>
      </c>
      <c r="Q17" s="16" t="s">
        <v>82</v>
      </c>
      <c r="R17" s="16" t="s">
        <v>80</v>
      </c>
      <c r="S17" s="16" t="s">
        <v>125</v>
      </c>
      <c r="T17" s="30" t="s">
        <v>84</v>
      </c>
      <c r="U17" s="35" t="s">
        <v>129</v>
      </c>
    </row>
    <row r="18" spans="1:21" s="10" customFormat="1" ht="65.5" customHeight="1">
      <c r="A18" s="16">
        <f>ROW()-5</f>
        <v>13</v>
      </c>
      <c r="B18" s="5" t="s">
        <v>130</v>
      </c>
      <c r="C18" s="35" t="s">
        <v>131</v>
      </c>
      <c r="D18" s="16" t="s">
        <v>76</v>
      </c>
      <c r="E18" s="16">
        <v>0</v>
      </c>
      <c r="F18" s="21" t="s">
        <v>77</v>
      </c>
      <c r="G18" s="22" t="s">
        <v>78</v>
      </c>
      <c r="H18" s="16" t="s">
        <v>123</v>
      </c>
      <c r="I18" s="23">
        <v>4</v>
      </c>
      <c r="J18" s="23">
        <v>0</v>
      </c>
      <c r="K18" s="23">
        <v>1</v>
      </c>
      <c r="L18" s="23">
        <v>0</v>
      </c>
      <c r="M18" s="23" t="s">
        <v>124</v>
      </c>
      <c r="N18" s="23">
        <v>0</v>
      </c>
      <c r="O18" s="23" t="s">
        <v>80</v>
      </c>
      <c r="P18" s="23" t="s">
        <v>119</v>
      </c>
      <c r="Q18" s="16" t="s">
        <v>82</v>
      </c>
      <c r="R18" s="16" t="s">
        <v>80</v>
      </c>
      <c r="S18" s="16" t="s">
        <v>125</v>
      </c>
      <c r="T18" s="30" t="s">
        <v>84</v>
      </c>
      <c r="U18" s="35" t="s">
        <v>132</v>
      </c>
    </row>
    <row r="19" spans="1:21" s="10" customFormat="1" ht="65.5" customHeight="1">
      <c r="A19" s="111">
        <f t="shared" ref="A19:A36" si="2">ROW()-5</f>
        <v>14</v>
      </c>
      <c r="B19" s="112" t="s">
        <v>133</v>
      </c>
      <c r="C19" s="113" t="s">
        <v>134</v>
      </c>
      <c r="D19" s="111" t="s">
        <v>76</v>
      </c>
      <c r="E19" s="111">
        <v>0</v>
      </c>
      <c r="F19" s="81" t="s">
        <v>77</v>
      </c>
      <c r="G19" s="119" t="s">
        <v>78</v>
      </c>
      <c r="H19" s="120" t="s">
        <v>99</v>
      </c>
      <c r="I19" s="120">
        <v>4</v>
      </c>
      <c r="J19" s="120">
        <v>0</v>
      </c>
      <c r="K19" s="120">
        <v>1</v>
      </c>
      <c r="L19" s="120">
        <v>0</v>
      </c>
      <c r="M19" s="120">
        <v>0</v>
      </c>
      <c r="N19" s="120">
        <v>0</v>
      </c>
      <c r="O19" s="120" t="s">
        <v>80</v>
      </c>
      <c r="P19" s="120" t="s">
        <v>81</v>
      </c>
      <c r="Q19" s="111" t="s">
        <v>82</v>
      </c>
      <c r="R19" s="111" t="s">
        <v>80</v>
      </c>
      <c r="S19" s="111" t="s">
        <v>135</v>
      </c>
      <c r="T19" s="111" t="s">
        <v>136</v>
      </c>
      <c r="U19" s="134" t="s">
        <v>137</v>
      </c>
    </row>
    <row r="20" spans="1:21" s="10" customFormat="1" ht="51.5" customHeight="1">
      <c r="A20" s="16">
        <f t="shared" si="2"/>
        <v>15</v>
      </c>
      <c r="B20" s="5" t="s">
        <v>138</v>
      </c>
      <c r="C20" s="19" t="s">
        <v>139</v>
      </c>
      <c r="D20" s="16" t="s">
        <v>76</v>
      </c>
      <c r="E20" s="16">
        <v>0</v>
      </c>
      <c r="F20" s="21" t="s">
        <v>77</v>
      </c>
      <c r="G20" s="22" t="s">
        <v>78</v>
      </c>
      <c r="H20" s="23" t="s">
        <v>140</v>
      </c>
      <c r="I20" s="23">
        <v>24</v>
      </c>
      <c r="J20" s="23">
        <v>0</v>
      </c>
      <c r="K20" s="23">
        <v>1</v>
      </c>
      <c r="L20" s="23">
        <v>0</v>
      </c>
      <c r="M20" s="23">
        <v>0</v>
      </c>
      <c r="N20" s="23">
        <v>0</v>
      </c>
      <c r="O20" s="23" t="s">
        <v>80</v>
      </c>
      <c r="P20" s="23" t="s">
        <v>81</v>
      </c>
      <c r="Q20" s="16" t="s">
        <v>82</v>
      </c>
      <c r="R20" s="16" t="s">
        <v>80</v>
      </c>
      <c r="S20" s="16" t="s">
        <v>135</v>
      </c>
      <c r="T20" s="16" t="s">
        <v>136</v>
      </c>
      <c r="U20" s="35" t="s">
        <v>141</v>
      </c>
    </row>
    <row r="21" spans="1:21" s="10" customFormat="1" ht="51.5" customHeight="1">
      <c r="A21" s="16">
        <f t="shared" si="2"/>
        <v>16</v>
      </c>
      <c r="B21" s="5" t="s">
        <v>142</v>
      </c>
      <c r="C21" s="19" t="s">
        <v>143</v>
      </c>
      <c r="D21" s="16" t="s">
        <v>76</v>
      </c>
      <c r="E21" s="16">
        <v>0</v>
      </c>
      <c r="F21" s="21" t="s">
        <v>77</v>
      </c>
      <c r="G21" s="22" t="s">
        <v>78</v>
      </c>
      <c r="H21" s="23" t="s">
        <v>140</v>
      </c>
      <c r="I21" s="23">
        <v>24</v>
      </c>
      <c r="J21" s="23">
        <v>0</v>
      </c>
      <c r="K21" s="23">
        <v>1</v>
      </c>
      <c r="L21" s="23">
        <v>0</v>
      </c>
      <c r="M21" s="23">
        <v>0</v>
      </c>
      <c r="N21" s="23">
        <v>0</v>
      </c>
      <c r="O21" s="23" t="s">
        <v>80</v>
      </c>
      <c r="P21" s="23" t="s">
        <v>81</v>
      </c>
      <c r="Q21" s="16" t="s">
        <v>82</v>
      </c>
      <c r="R21" s="16" t="s">
        <v>80</v>
      </c>
      <c r="S21" s="16" t="s">
        <v>135</v>
      </c>
      <c r="T21" s="16" t="s">
        <v>136</v>
      </c>
      <c r="U21" s="35" t="s">
        <v>144</v>
      </c>
    </row>
    <row r="22" spans="1:21" s="10" customFormat="1" ht="51.5" customHeight="1">
      <c r="A22" s="16">
        <f t="shared" si="2"/>
        <v>17</v>
      </c>
      <c r="B22" s="5" t="s">
        <v>145</v>
      </c>
      <c r="C22" s="35" t="s">
        <v>146</v>
      </c>
      <c r="D22" s="16" t="s">
        <v>76</v>
      </c>
      <c r="E22" s="16">
        <v>0</v>
      </c>
      <c r="F22" s="21" t="s">
        <v>77</v>
      </c>
      <c r="G22" s="22" t="s">
        <v>78</v>
      </c>
      <c r="H22" s="23" t="s">
        <v>140</v>
      </c>
      <c r="I22" s="23">
        <v>16</v>
      </c>
      <c r="J22" s="23">
        <v>0</v>
      </c>
      <c r="K22" s="23">
        <v>1</v>
      </c>
      <c r="L22" s="23">
        <v>0</v>
      </c>
      <c r="M22" s="23">
        <v>0</v>
      </c>
      <c r="N22" s="23">
        <v>0</v>
      </c>
      <c r="O22" s="23" t="s">
        <v>80</v>
      </c>
      <c r="P22" s="23" t="s">
        <v>81</v>
      </c>
      <c r="Q22" s="16" t="s">
        <v>82</v>
      </c>
      <c r="R22" s="16" t="s">
        <v>80</v>
      </c>
      <c r="S22" s="16" t="s">
        <v>135</v>
      </c>
      <c r="T22" s="16" t="s">
        <v>136</v>
      </c>
      <c r="U22" s="35"/>
    </row>
    <row r="23" spans="1:21" s="10" customFormat="1" ht="51.5" customHeight="1">
      <c r="A23" s="16">
        <f t="shared" si="2"/>
        <v>18</v>
      </c>
      <c r="B23" s="5" t="s">
        <v>147</v>
      </c>
      <c r="C23" s="35" t="s">
        <v>148</v>
      </c>
      <c r="D23" s="16" t="s">
        <v>76</v>
      </c>
      <c r="E23" s="16">
        <v>0</v>
      </c>
      <c r="F23" s="21" t="s">
        <v>77</v>
      </c>
      <c r="G23" s="22" t="s">
        <v>78</v>
      </c>
      <c r="H23" s="94" t="s">
        <v>140</v>
      </c>
      <c r="I23" s="23">
        <v>16</v>
      </c>
      <c r="J23" s="23">
        <v>0</v>
      </c>
      <c r="K23" s="23">
        <v>1</v>
      </c>
      <c r="L23" s="23">
        <v>0</v>
      </c>
      <c r="M23" s="23">
        <v>0</v>
      </c>
      <c r="N23" s="23">
        <v>0</v>
      </c>
      <c r="O23" s="23" t="s">
        <v>80</v>
      </c>
      <c r="P23" s="23" t="s">
        <v>81</v>
      </c>
      <c r="Q23" s="16" t="s">
        <v>82</v>
      </c>
      <c r="R23" s="16" t="s">
        <v>80</v>
      </c>
      <c r="S23" s="16" t="s">
        <v>135</v>
      </c>
      <c r="T23" s="16" t="s">
        <v>136</v>
      </c>
      <c r="U23" s="35" t="s">
        <v>149</v>
      </c>
    </row>
    <row r="24" spans="1:21" s="10" customFormat="1" ht="51.5" customHeight="1">
      <c r="A24" s="96">
        <f t="shared" si="2"/>
        <v>19</v>
      </c>
      <c r="B24" s="114" t="s">
        <v>150</v>
      </c>
      <c r="C24" s="95" t="s">
        <v>151</v>
      </c>
      <c r="D24" s="96" t="s">
        <v>76</v>
      </c>
      <c r="E24" s="96">
        <v>0</v>
      </c>
      <c r="F24" s="97" t="s">
        <v>77</v>
      </c>
      <c r="G24" s="121" t="s">
        <v>78</v>
      </c>
      <c r="H24" s="94" t="s">
        <v>140</v>
      </c>
      <c r="I24" s="94">
        <v>16</v>
      </c>
      <c r="J24" s="94">
        <v>0</v>
      </c>
      <c r="K24" s="94">
        <v>1</v>
      </c>
      <c r="L24" s="94">
        <v>0</v>
      </c>
      <c r="M24" s="94">
        <v>0</v>
      </c>
      <c r="N24" s="94">
        <v>0</v>
      </c>
      <c r="O24" s="94" t="s">
        <v>80</v>
      </c>
      <c r="P24" s="94" t="s">
        <v>81</v>
      </c>
      <c r="Q24" s="96" t="s">
        <v>82</v>
      </c>
      <c r="R24" s="96" t="s">
        <v>80</v>
      </c>
      <c r="S24" s="96" t="s">
        <v>135</v>
      </c>
      <c r="T24" s="96" t="s">
        <v>136</v>
      </c>
      <c r="U24" s="95" t="s">
        <v>152</v>
      </c>
    </row>
    <row r="25" spans="1:21" s="10" customFormat="1" ht="51.5" customHeight="1">
      <c r="A25" s="16">
        <f t="shared" si="2"/>
        <v>20</v>
      </c>
      <c r="B25" s="5" t="s">
        <v>153</v>
      </c>
      <c r="C25" s="35" t="s">
        <v>154</v>
      </c>
      <c r="D25" s="16" t="s">
        <v>76</v>
      </c>
      <c r="E25" s="16">
        <v>0</v>
      </c>
      <c r="F25" s="21" t="s">
        <v>77</v>
      </c>
      <c r="G25" s="22" t="s">
        <v>78</v>
      </c>
      <c r="H25" s="23" t="s">
        <v>99</v>
      </c>
      <c r="I25" s="23">
        <v>8</v>
      </c>
      <c r="J25" s="23">
        <v>0</v>
      </c>
      <c r="K25" s="23">
        <v>1</v>
      </c>
      <c r="L25" s="23">
        <v>0</v>
      </c>
      <c r="M25" s="23">
        <v>0</v>
      </c>
      <c r="N25" s="23">
        <v>0</v>
      </c>
      <c r="O25" s="23" t="s">
        <v>80</v>
      </c>
      <c r="P25" s="23" t="s">
        <v>81</v>
      </c>
      <c r="Q25" s="16" t="s">
        <v>82</v>
      </c>
      <c r="R25" s="16" t="s">
        <v>80</v>
      </c>
      <c r="S25" s="16" t="s">
        <v>135</v>
      </c>
      <c r="T25" s="16" t="s">
        <v>136</v>
      </c>
      <c r="U25" s="35" t="s">
        <v>155</v>
      </c>
    </row>
    <row r="26" spans="1:21" s="10" customFormat="1" ht="51.5" customHeight="1">
      <c r="A26" s="16">
        <f t="shared" si="2"/>
        <v>21</v>
      </c>
      <c r="B26" s="5" t="s">
        <v>156</v>
      </c>
      <c r="C26" s="35" t="s">
        <v>157</v>
      </c>
      <c r="D26" s="16" t="s">
        <v>76</v>
      </c>
      <c r="E26" s="16">
        <v>0</v>
      </c>
      <c r="F26" s="21" t="s">
        <v>77</v>
      </c>
      <c r="G26" s="22" t="s">
        <v>78</v>
      </c>
      <c r="H26" s="23" t="s">
        <v>140</v>
      </c>
      <c r="I26" s="23">
        <v>16</v>
      </c>
      <c r="J26" s="23">
        <v>0</v>
      </c>
      <c r="K26" s="23">
        <v>1</v>
      </c>
      <c r="L26" s="23">
        <v>0</v>
      </c>
      <c r="M26" s="23">
        <v>0</v>
      </c>
      <c r="N26" s="23">
        <v>0</v>
      </c>
      <c r="O26" s="23" t="s">
        <v>80</v>
      </c>
      <c r="P26" s="23" t="s">
        <v>81</v>
      </c>
      <c r="Q26" s="16" t="s">
        <v>82</v>
      </c>
      <c r="R26" s="16" t="s">
        <v>80</v>
      </c>
      <c r="S26" s="16" t="s">
        <v>135</v>
      </c>
      <c r="T26" s="16" t="s">
        <v>136</v>
      </c>
      <c r="U26" s="35" t="s">
        <v>158</v>
      </c>
    </row>
    <row r="27" spans="1:21" s="10" customFormat="1" ht="51.5" customHeight="1">
      <c r="A27" s="16">
        <f t="shared" si="2"/>
        <v>22</v>
      </c>
      <c r="B27" s="5" t="s">
        <v>159</v>
      </c>
      <c r="C27" s="35" t="s">
        <v>160</v>
      </c>
      <c r="D27" s="16" t="s">
        <v>76</v>
      </c>
      <c r="E27" s="16">
        <v>0</v>
      </c>
      <c r="F27" s="21" t="s">
        <v>77</v>
      </c>
      <c r="G27" s="22" t="s">
        <v>78</v>
      </c>
      <c r="H27" s="16" t="s">
        <v>79</v>
      </c>
      <c r="I27" s="23">
        <v>1</v>
      </c>
      <c r="J27" s="23">
        <v>0</v>
      </c>
      <c r="K27" s="23">
        <v>1</v>
      </c>
      <c r="L27" s="23">
        <v>0</v>
      </c>
      <c r="M27" s="23">
        <v>254</v>
      </c>
      <c r="N27" s="23">
        <v>0</v>
      </c>
      <c r="O27" s="23" t="s">
        <v>80</v>
      </c>
      <c r="P27" s="23" t="s">
        <v>81</v>
      </c>
      <c r="Q27" s="16" t="s">
        <v>82</v>
      </c>
      <c r="R27" s="16" t="s">
        <v>80</v>
      </c>
      <c r="S27" s="115" t="s">
        <v>83</v>
      </c>
      <c r="T27" s="30" t="s">
        <v>84</v>
      </c>
      <c r="U27" s="35" t="s">
        <v>161</v>
      </c>
    </row>
    <row r="28" spans="1:21" s="10" customFormat="1" ht="51.5" customHeight="1">
      <c r="A28" s="16">
        <f t="shared" si="2"/>
        <v>23</v>
      </c>
      <c r="B28" s="5" t="s">
        <v>162</v>
      </c>
      <c r="C28" s="35" t="s">
        <v>163</v>
      </c>
      <c r="D28" s="16" t="s">
        <v>76</v>
      </c>
      <c r="E28" s="16">
        <v>0</v>
      </c>
      <c r="F28" s="21" t="s">
        <v>77</v>
      </c>
      <c r="G28" s="22" t="s">
        <v>78</v>
      </c>
      <c r="H28" s="23" t="s">
        <v>99</v>
      </c>
      <c r="I28" s="23">
        <v>8</v>
      </c>
      <c r="J28" s="23">
        <v>0</v>
      </c>
      <c r="K28" s="23">
        <v>1</v>
      </c>
      <c r="L28" s="23">
        <v>0</v>
      </c>
      <c r="M28" s="23">
        <v>0</v>
      </c>
      <c r="N28" s="23">
        <v>0</v>
      </c>
      <c r="O28" s="23" t="s">
        <v>80</v>
      </c>
      <c r="P28" s="23" t="s">
        <v>81</v>
      </c>
      <c r="Q28" s="16" t="s">
        <v>82</v>
      </c>
      <c r="R28" s="127" t="s">
        <v>80</v>
      </c>
      <c r="S28" s="29" t="s">
        <v>135</v>
      </c>
      <c r="T28" s="29" t="s">
        <v>84</v>
      </c>
      <c r="U28" s="135" t="s">
        <v>164</v>
      </c>
    </row>
    <row r="29" spans="1:21" s="10" customFormat="1" ht="51.5" customHeight="1">
      <c r="A29" s="115">
        <f t="shared" si="2"/>
        <v>24</v>
      </c>
      <c r="B29" s="106" t="s">
        <v>165</v>
      </c>
      <c r="C29" s="90" t="s">
        <v>166</v>
      </c>
      <c r="D29" s="16" t="s">
        <v>76</v>
      </c>
      <c r="E29" s="16">
        <v>0</v>
      </c>
      <c r="F29" s="21" t="s">
        <v>77</v>
      </c>
      <c r="G29" s="22" t="s">
        <v>78</v>
      </c>
      <c r="H29" s="23" t="s">
        <v>99</v>
      </c>
      <c r="I29" s="23">
        <v>8</v>
      </c>
      <c r="J29" s="23">
        <v>0</v>
      </c>
      <c r="K29" s="23">
        <v>1</v>
      </c>
      <c r="L29" s="23">
        <v>0</v>
      </c>
      <c r="M29" s="23">
        <v>0</v>
      </c>
      <c r="N29" s="23">
        <v>0</v>
      </c>
      <c r="O29" s="23" t="s">
        <v>80</v>
      </c>
      <c r="P29" s="23" t="s">
        <v>81</v>
      </c>
      <c r="Q29" s="16" t="s">
        <v>82</v>
      </c>
      <c r="R29" s="127" t="s">
        <v>80</v>
      </c>
      <c r="S29" s="29" t="s">
        <v>135</v>
      </c>
      <c r="T29" s="29" t="s">
        <v>84</v>
      </c>
      <c r="U29" s="135" t="s">
        <v>167</v>
      </c>
    </row>
    <row r="30" spans="1:21" s="10" customFormat="1" ht="51.5" customHeight="1">
      <c r="A30" s="29">
        <f t="shared" si="2"/>
        <v>25</v>
      </c>
      <c r="B30" s="116" t="s">
        <v>168</v>
      </c>
      <c r="C30" s="47" t="s">
        <v>169</v>
      </c>
      <c r="D30" s="16" t="s">
        <v>76</v>
      </c>
      <c r="E30" s="16">
        <v>0</v>
      </c>
      <c r="F30" s="21" t="s">
        <v>77</v>
      </c>
      <c r="G30" s="22" t="s">
        <v>78</v>
      </c>
      <c r="H30" s="26" t="s">
        <v>99</v>
      </c>
      <c r="I30" s="98">
        <v>16</v>
      </c>
      <c r="J30" s="98">
        <v>0</v>
      </c>
      <c r="K30" s="98">
        <v>1</v>
      </c>
      <c r="L30" s="98">
        <v>0</v>
      </c>
      <c r="M30" s="98">
        <v>0</v>
      </c>
      <c r="N30" s="98">
        <v>0</v>
      </c>
      <c r="O30" s="98" t="s">
        <v>80</v>
      </c>
      <c r="P30" s="23" t="s">
        <v>81</v>
      </c>
      <c r="Q30" s="16" t="s">
        <v>82</v>
      </c>
      <c r="R30" s="127" t="s">
        <v>80</v>
      </c>
      <c r="S30" s="29" t="s">
        <v>135</v>
      </c>
      <c r="T30" s="29" t="s">
        <v>84</v>
      </c>
      <c r="U30" s="136" t="s">
        <v>170</v>
      </c>
    </row>
    <row r="31" spans="1:21" s="10" customFormat="1" ht="51.5" customHeight="1">
      <c r="A31" s="29">
        <f t="shared" si="2"/>
        <v>26</v>
      </c>
      <c r="B31" s="116" t="s">
        <v>171</v>
      </c>
      <c r="C31" s="47" t="s">
        <v>172</v>
      </c>
      <c r="D31" s="16" t="s">
        <v>76</v>
      </c>
      <c r="E31" s="16">
        <v>0</v>
      </c>
      <c r="F31" s="21" t="s">
        <v>77</v>
      </c>
      <c r="G31" s="22" t="s">
        <v>78</v>
      </c>
      <c r="H31" s="25" t="s">
        <v>79</v>
      </c>
      <c r="I31" s="123">
        <v>1</v>
      </c>
      <c r="J31" s="123">
        <v>0</v>
      </c>
      <c r="K31" s="123">
        <v>1</v>
      </c>
      <c r="L31" s="123">
        <v>0</v>
      </c>
      <c r="M31" s="123">
        <v>1</v>
      </c>
      <c r="N31" s="123">
        <v>0</v>
      </c>
      <c r="O31" s="123" t="s">
        <v>80</v>
      </c>
      <c r="P31" s="23" t="s">
        <v>81</v>
      </c>
      <c r="Q31" s="16" t="s">
        <v>82</v>
      </c>
      <c r="R31" s="127" t="s">
        <v>80</v>
      </c>
      <c r="S31" s="29" t="s">
        <v>83</v>
      </c>
      <c r="T31" s="30" t="s">
        <v>84</v>
      </c>
      <c r="U31" s="137" t="s">
        <v>173</v>
      </c>
    </row>
    <row r="32" spans="1:21" s="10" customFormat="1" ht="51.5" customHeight="1">
      <c r="A32" s="42">
        <f t="shared" si="2"/>
        <v>27</v>
      </c>
      <c r="B32" s="117" t="s">
        <v>174</v>
      </c>
      <c r="C32" s="118" t="s">
        <v>175</v>
      </c>
      <c r="D32" s="16" t="s">
        <v>76</v>
      </c>
      <c r="E32" s="36">
        <v>0</v>
      </c>
      <c r="F32" s="39" t="s">
        <v>77</v>
      </c>
      <c r="G32" s="122" t="s">
        <v>78</v>
      </c>
      <c r="H32" s="41" t="s">
        <v>123</v>
      </c>
      <c r="I32" s="124">
        <v>4</v>
      </c>
      <c r="J32" s="124">
        <v>0</v>
      </c>
      <c r="K32" s="124">
        <v>1</v>
      </c>
      <c r="L32" s="124">
        <v>0</v>
      </c>
      <c r="M32" s="125" t="s">
        <v>124</v>
      </c>
      <c r="N32" s="125">
        <v>0</v>
      </c>
      <c r="O32" s="125" t="s">
        <v>80</v>
      </c>
      <c r="P32" s="40" t="s">
        <v>119</v>
      </c>
      <c r="Q32" s="36" t="s">
        <v>82</v>
      </c>
      <c r="R32" s="128" t="s">
        <v>80</v>
      </c>
      <c r="S32" s="42" t="s">
        <v>135</v>
      </c>
      <c r="T32" s="43" t="s">
        <v>136</v>
      </c>
      <c r="U32" s="138" t="s">
        <v>176</v>
      </c>
    </row>
    <row r="33" spans="1:21" s="10" customFormat="1" ht="51">
      <c r="A33" s="29">
        <f t="shared" si="2"/>
        <v>28</v>
      </c>
      <c r="B33" s="116" t="s">
        <v>177</v>
      </c>
      <c r="C33" s="51" t="s">
        <v>178</v>
      </c>
      <c r="D33" s="16" t="s">
        <v>76</v>
      </c>
      <c r="E33" s="16">
        <v>0</v>
      </c>
      <c r="F33" s="21" t="s">
        <v>77</v>
      </c>
      <c r="G33" s="22" t="s">
        <v>78</v>
      </c>
      <c r="H33" s="26" t="s">
        <v>79</v>
      </c>
      <c r="I33" s="23">
        <v>1</v>
      </c>
      <c r="J33" s="23">
        <v>0</v>
      </c>
      <c r="K33" s="23">
        <v>1</v>
      </c>
      <c r="L33" s="23">
        <v>0</v>
      </c>
      <c r="M33" s="26">
        <v>2</v>
      </c>
      <c r="N33" s="26">
        <v>0</v>
      </c>
      <c r="O33" s="26" t="s">
        <v>80</v>
      </c>
      <c r="P33" s="23" t="s">
        <v>119</v>
      </c>
      <c r="Q33" s="16" t="s">
        <v>82</v>
      </c>
      <c r="R33" s="127" t="s">
        <v>80</v>
      </c>
      <c r="S33" s="29" t="s">
        <v>83</v>
      </c>
      <c r="T33" s="30" t="s">
        <v>84</v>
      </c>
      <c r="U33" s="135" t="s">
        <v>179</v>
      </c>
    </row>
    <row r="34" spans="1:21" s="10" customFormat="1" ht="68">
      <c r="A34" s="29">
        <f t="shared" si="2"/>
        <v>29</v>
      </c>
      <c r="B34" s="116" t="s">
        <v>180</v>
      </c>
      <c r="C34" s="51" t="s">
        <v>181</v>
      </c>
      <c r="D34" s="16" t="s">
        <v>76</v>
      </c>
      <c r="E34" s="16">
        <v>0</v>
      </c>
      <c r="F34" s="21" t="s">
        <v>77</v>
      </c>
      <c r="G34" s="22" t="s">
        <v>78</v>
      </c>
      <c r="H34" s="26" t="s">
        <v>79</v>
      </c>
      <c r="I34" s="23">
        <v>1</v>
      </c>
      <c r="J34" s="23">
        <v>0</v>
      </c>
      <c r="K34" s="23">
        <v>1</v>
      </c>
      <c r="L34" s="23">
        <v>0</v>
      </c>
      <c r="M34" s="26">
        <v>1</v>
      </c>
      <c r="N34" s="26">
        <v>0</v>
      </c>
      <c r="O34" s="26" t="s">
        <v>80</v>
      </c>
      <c r="P34" s="23" t="s">
        <v>81</v>
      </c>
      <c r="Q34" s="16" t="s">
        <v>104</v>
      </c>
      <c r="R34" s="127" t="s">
        <v>104</v>
      </c>
      <c r="S34" s="29" t="s">
        <v>83</v>
      </c>
      <c r="T34" s="30" t="s">
        <v>84</v>
      </c>
      <c r="U34" s="135" t="s">
        <v>182</v>
      </c>
    </row>
    <row r="35" spans="1:21" s="10" customFormat="1" ht="68">
      <c r="A35" s="29">
        <f t="shared" si="2"/>
        <v>30</v>
      </c>
      <c r="B35" s="116" t="s">
        <v>183</v>
      </c>
      <c r="C35" s="51" t="s">
        <v>184</v>
      </c>
      <c r="D35" s="16" t="s">
        <v>76</v>
      </c>
      <c r="E35" s="16">
        <v>0</v>
      </c>
      <c r="F35" s="21" t="s">
        <v>77</v>
      </c>
      <c r="G35" s="22" t="s">
        <v>78</v>
      </c>
      <c r="H35" s="26" t="s">
        <v>79</v>
      </c>
      <c r="I35" s="23">
        <v>1</v>
      </c>
      <c r="J35" s="23">
        <v>0</v>
      </c>
      <c r="K35" s="23">
        <v>1</v>
      </c>
      <c r="L35" s="23">
        <v>0</v>
      </c>
      <c r="M35" s="26">
        <v>1</v>
      </c>
      <c r="N35" s="26">
        <v>0</v>
      </c>
      <c r="O35" s="26" t="s">
        <v>80</v>
      </c>
      <c r="P35" s="23" t="s">
        <v>81</v>
      </c>
      <c r="Q35" s="16" t="s">
        <v>104</v>
      </c>
      <c r="R35" s="127" t="s">
        <v>104</v>
      </c>
      <c r="S35" s="29" t="s">
        <v>83</v>
      </c>
      <c r="T35" s="30" t="s">
        <v>84</v>
      </c>
      <c r="U35" s="135" t="s">
        <v>185</v>
      </c>
    </row>
    <row r="36" spans="1:21" s="10" customFormat="1" ht="68">
      <c r="A36" s="29">
        <f t="shared" si="2"/>
        <v>31</v>
      </c>
      <c r="B36" s="116" t="s">
        <v>186</v>
      </c>
      <c r="C36" s="51" t="s">
        <v>187</v>
      </c>
      <c r="D36" s="16" t="s">
        <v>76</v>
      </c>
      <c r="E36" s="16">
        <v>0</v>
      </c>
      <c r="F36" s="21" t="s">
        <v>77</v>
      </c>
      <c r="G36" s="22" t="s">
        <v>78</v>
      </c>
      <c r="H36" s="26" t="s">
        <v>79</v>
      </c>
      <c r="I36" s="23">
        <v>1</v>
      </c>
      <c r="J36" s="23">
        <v>0</v>
      </c>
      <c r="K36" s="23">
        <v>1</v>
      </c>
      <c r="L36" s="23">
        <v>0</v>
      </c>
      <c r="M36" s="26">
        <v>1</v>
      </c>
      <c r="N36" s="26">
        <v>0</v>
      </c>
      <c r="O36" s="26" t="s">
        <v>80</v>
      </c>
      <c r="P36" s="23" t="s">
        <v>81</v>
      </c>
      <c r="Q36" s="16" t="s">
        <v>82</v>
      </c>
      <c r="R36" s="127" t="s">
        <v>188</v>
      </c>
      <c r="S36" s="29" t="s">
        <v>83</v>
      </c>
      <c r="T36" s="30" t="s">
        <v>84</v>
      </c>
      <c r="U36" s="135" t="s">
        <v>182</v>
      </c>
    </row>
    <row r="38" spans="1:21">
      <c r="C38" s="139" t="s">
        <v>189</v>
      </c>
    </row>
  </sheetData>
  <sheetProtection formatCells="0" insertHyperlinks="0" autoFilter="0"/>
  <autoFilter ref="A2:U36" xr:uid="{00000000-0009-0000-0000-000002000000}"/>
  <dataValidations count="3">
    <dataValidation type="list" errorStyle="information" allowBlank="1" showErrorMessage="1" errorTitle="错误提示" error="请输入下拉列表中的一个值" sqref="T3" xr:uid="{00000000-0002-0000-0200-000000000000}">
      <formula1>"FixedInfo, ProductCfg, CustomerCfg, OperateData, RideData"</formula1>
    </dataValidation>
    <dataValidation type="list" errorStyle="information" allowBlank="1" showErrorMessage="1" errorTitle="错误提示" error="请输入下拉列表中的一个值" sqref="S3:S36" xr:uid="{00000000-0002-0000-0200-000001000000}">
      <formula1>"RAM, ROM, FLASH, EEPROM"</formula1>
    </dataValidation>
    <dataValidation type="list" errorStyle="information" allowBlank="1" showErrorMessage="1" errorTitle="错误提示" error="请输入下拉列表中的一个值" sqref="T4:T36" xr:uid="{00000000-0002-0000-0200-000002000000}">
      <formula1>"FixedInfo, ProductCfg, CustomerCfg, OperateData, RideData, NA"</formula1>
    </dataValidation>
  </dataValidations>
  <pageMargins left="0.70866141732283505" right="0.70866141732283505" top="0.74803149606299202" bottom="0.74803149606299202" header="0.31496062992126" footer="0.31496062992126"/>
  <pageSetup paperSize="9" scale="36" fitToHeight="0" orientation="landscape"/>
  <headerFooter>
    <oddHeader>&amp;R&amp;G</oddHead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230"/>
  <sheetViews>
    <sheetView showGridLines="0" workbookViewId="0">
      <pane ySplit="2" topLeftCell="A3" activePane="bottomLeft" state="frozen"/>
      <selection pane="bottomLeft" activeCell="A180" sqref="A180:XFD180"/>
    </sheetView>
  </sheetViews>
  <sheetFormatPr baseColWidth="10" defaultColWidth="14" defaultRowHeight="16"/>
  <cols>
    <col min="1" max="1" width="8" style="1" customWidth="1"/>
    <col min="2" max="2" width="15" style="11" customWidth="1"/>
    <col min="3" max="3" width="46" style="1" customWidth="1"/>
    <col min="4" max="10" width="15.59765625" style="1" customWidth="1"/>
    <col min="11" max="11" width="15.59765625" style="11" customWidth="1"/>
    <col min="12" max="12" width="15.59765625" style="1" customWidth="1"/>
    <col min="13" max="15" width="15.59765625" style="11" customWidth="1"/>
    <col min="16" max="18" width="15.59765625" style="1" customWidth="1"/>
    <col min="19" max="19" width="16.19921875" style="1" customWidth="1"/>
    <col min="20" max="20" width="15.3984375" style="11" customWidth="1"/>
    <col min="21" max="21" width="55.19921875" style="75" customWidth="1"/>
    <col min="22" max="16384" width="14" style="1"/>
  </cols>
  <sheetData>
    <row r="1" spans="1:21" ht="36" customHeight="1">
      <c r="A1" s="12"/>
      <c r="B1" s="12"/>
      <c r="C1" s="12"/>
      <c r="D1" s="12"/>
      <c r="E1" s="12"/>
      <c r="F1" s="12"/>
      <c r="G1" s="12"/>
      <c r="H1" s="12"/>
      <c r="I1" s="12"/>
      <c r="J1" s="12"/>
      <c r="K1" s="24" t="s">
        <v>190</v>
      </c>
      <c r="L1" s="12"/>
      <c r="M1" s="12"/>
      <c r="N1" s="12"/>
      <c r="O1" s="12"/>
      <c r="P1" s="12"/>
      <c r="Q1" s="12"/>
      <c r="R1" s="12"/>
      <c r="S1" s="12"/>
      <c r="T1" s="12"/>
      <c r="U1" s="87"/>
    </row>
    <row r="2" spans="1:21" ht="36" customHeight="1">
      <c r="A2" s="76" t="s">
        <v>52</v>
      </c>
      <c r="B2" s="76" t="s">
        <v>53</v>
      </c>
      <c r="C2" s="76" t="s">
        <v>54</v>
      </c>
      <c r="D2" s="20" t="s">
        <v>55</v>
      </c>
      <c r="E2" s="20" t="s">
        <v>56</v>
      </c>
      <c r="F2" s="20" t="s">
        <v>57</v>
      </c>
      <c r="G2" s="20" t="s">
        <v>58</v>
      </c>
      <c r="H2" s="76" t="s">
        <v>59</v>
      </c>
      <c r="I2" s="76" t="s">
        <v>60</v>
      </c>
      <c r="J2" s="76" t="s">
        <v>61</v>
      </c>
      <c r="K2" s="76" t="s">
        <v>62</v>
      </c>
      <c r="L2" s="76" t="s">
        <v>63</v>
      </c>
      <c r="M2" s="76" t="s">
        <v>64</v>
      </c>
      <c r="N2" s="13" t="s">
        <v>65</v>
      </c>
      <c r="O2" s="76" t="s">
        <v>66</v>
      </c>
      <c r="P2" s="76" t="s">
        <v>67</v>
      </c>
      <c r="Q2" s="13" t="s">
        <v>68</v>
      </c>
      <c r="R2" s="13" t="s">
        <v>69</v>
      </c>
      <c r="S2" s="76" t="s">
        <v>70</v>
      </c>
      <c r="T2" s="28" t="s">
        <v>71</v>
      </c>
      <c r="U2" s="76" t="s">
        <v>72</v>
      </c>
    </row>
    <row r="3" spans="1:21" s="71" customFormat="1" ht="36" customHeight="1">
      <c r="A3" s="77" t="s">
        <v>191</v>
      </c>
      <c r="B3" s="77"/>
      <c r="C3" s="77"/>
      <c r="D3" s="77"/>
      <c r="E3" s="77"/>
      <c r="F3" s="77"/>
      <c r="G3" s="77"/>
      <c r="H3" s="77"/>
      <c r="I3" s="77"/>
      <c r="J3" s="77"/>
      <c r="K3" s="82"/>
      <c r="L3" s="77"/>
      <c r="M3" s="82"/>
      <c r="N3" s="82"/>
      <c r="O3" s="82"/>
      <c r="P3" s="77"/>
      <c r="Q3" s="77"/>
      <c r="R3" s="77"/>
      <c r="S3" s="77"/>
      <c r="T3" s="82"/>
      <c r="U3" s="88"/>
    </row>
    <row r="4" spans="1:21" ht="32">
      <c r="A4" s="23">
        <v>1</v>
      </c>
      <c r="B4" s="23" t="s">
        <v>192</v>
      </c>
      <c r="C4" s="35" t="s">
        <v>193</v>
      </c>
      <c r="D4" s="16" t="s">
        <v>76</v>
      </c>
      <c r="E4" s="16">
        <v>0</v>
      </c>
      <c r="F4" s="21" t="s">
        <v>194</v>
      </c>
      <c r="G4" s="16" t="s">
        <v>195</v>
      </c>
      <c r="H4" s="16" t="s">
        <v>99</v>
      </c>
      <c r="I4" s="16">
        <v>8</v>
      </c>
      <c r="J4" s="16">
        <v>0</v>
      </c>
      <c r="K4" s="16">
        <v>0</v>
      </c>
      <c r="L4" s="16">
        <v>0</v>
      </c>
      <c r="M4" s="16">
        <v>0</v>
      </c>
      <c r="N4" s="16">
        <v>0</v>
      </c>
      <c r="O4" s="16" t="s">
        <v>80</v>
      </c>
      <c r="P4" s="16" t="s">
        <v>81</v>
      </c>
      <c r="Q4" s="16"/>
      <c r="R4" s="16"/>
      <c r="S4" s="83" t="s">
        <v>135</v>
      </c>
      <c r="T4" s="30" t="s">
        <v>196</v>
      </c>
      <c r="U4" s="34"/>
    </row>
    <row r="5" spans="1:21" ht="48">
      <c r="A5" s="23">
        <f t="shared" ref="A5:A33" si="0">A4+1</f>
        <v>2</v>
      </c>
      <c r="B5" s="23" t="s">
        <v>197</v>
      </c>
      <c r="C5" s="35" t="s">
        <v>198</v>
      </c>
      <c r="D5" s="16" t="s">
        <v>76</v>
      </c>
      <c r="E5" s="16">
        <v>0</v>
      </c>
      <c r="F5" s="21" t="s">
        <v>199</v>
      </c>
      <c r="G5" s="16" t="s">
        <v>195</v>
      </c>
      <c r="H5" s="16" t="s">
        <v>99</v>
      </c>
      <c r="I5" s="16">
        <v>8</v>
      </c>
      <c r="J5" s="16">
        <v>0</v>
      </c>
      <c r="K5" s="16">
        <v>0</v>
      </c>
      <c r="L5" s="16">
        <v>0</v>
      </c>
      <c r="M5" s="16">
        <v>0</v>
      </c>
      <c r="N5" s="16">
        <v>0</v>
      </c>
      <c r="O5" s="16" t="s">
        <v>80</v>
      </c>
      <c r="P5" s="16" t="s">
        <v>81</v>
      </c>
      <c r="Q5" s="16"/>
      <c r="R5" s="16"/>
      <c r="S5" s="83" t="s">
        <v>135</v>
      </c>
      <c r="T5" s="30" t="s">
        <v>196</v>
      </c>
      <c r="U5" s="34"/>
    </row>
    <row r="6" spans="1:21" ht="48">
      <c r="A6" s="23">
        <f t="shared" si="0"/>
        <v>3</v>
      </c>
      <c r="B6" s="78" t="s">
        <v>200</v>
      </c>
      <c r="C6" s="63" t="s">
        <v>201</v>
      </c>
      <c r="D6" s="58" t="s">
        <v>76</v>
      </c>
      <c r="E6" s="58">
        <v>0</v>
      </c>
      <c r="F6" s="81" t="s">
        <v>199</v>
      </c>
      <c r="G6" s="58" t="s">
        <v>195</v>
      </c>
      <c r="H6" s="58" t="s">
        <v>99</v>
      </c>
      <c r="I6" s="58">
        <v>32</v>
      </c>
      <c r="J6" s="58">
        <v>0</v>
      </c>
      <c r="K6" s="58">
        <v>0</v>
      </c>
      <c r="L6" s="58">
        <v>0</v>
      </c>
      <c r="M6" s="58">
        <v>0</v>
      </c>
      <c r="N6" s="58">
        <v>0</v>
      </c>
      <c r="O6" s="58" t="s">
        <v>80</v>
      </c>
      <c r="P6" s="58" t="s">
        <v>81</v>
      </c>
      <c r="Q6" s="58"/>
      <c r="R6" s="58"/>
      <c r="S6" s="84" t="s">
        <v>135</v>
      </c>
      <c r="T6" s="85" t="s">
        <v>202</v>
      </c>
      <c r="U6" s="79"/>
    </row>
    <row r="7" spans="1:21" ht="48">
      <c r="A7" s="23">
        <f t="shared" si="0"/>
        <v>4</v>
      </c>
      <c r="B7" s="78" t="s">
        <v>203</v>
      </c>
      <c r="C7" s="63" t="s">
        <v>204</v>
      </c>
      <c r="D7" s="58" t="s">
        <v>76</v>
      </c>
      <c r="E7" s="58">
        <v>0</v>
      </c>
      <c r="F7" s="81" t="s">
        <v>199</v>
      </c>
      <c r="G7" s="58" t="s">
        <v>195</v>
      </c>
      <c r="H7" s="58" t="s">
        <v>79</v>
      </c>
      <c r="I7" s="58">
        <v>1</v>
      </c>
      <c r="J7" s="58">
        <v>0</v>
      </c>
      <c r="K7" s="58">
        <v>1</v>
      </c>
      <c r="L7" s="58">
        <v>0</v>
      </c>
      <c r="M7" s="58">
        <v>2</v>
      </c>
      <c r="N7" s="58">
        <v>0</v>
      </c>
      <c r="O7" s="58" t="s">
        <v>80</v>
      </c>
      <c r="P7" s="58" t="s">
        <v>81</v>
      </c>
      <c r="Q7" s="58"/>
      <c r="R7" s="58"/>
      <c r="S7" s="84" t="s">
        <v>135</v>
      </c>
      <c r="T7" s="85" t="s">
        <v>196</v>
      </c>
      <c r="U7" s="79"/>
    </row>
    <row r="8" spans="1:21" ht="48">
      <c r="A8" s="23">
        <f t="shared" si="0"/>
        <v>5</v>
      </c>
      <c r="B8" s="78" t="s">
        <v>205</v>
      </c>
      <c r="C8" s="79" t="s">
        <v>206</v>
      </c>
      <c r="D8" s="58" t="s">
        <v>76</v>
      </c>
      <c r="E8" s="58">
        <v>0</v>
      </c>
      <c r="F8" s="81" t="s">
        <v>199</v>
      </c>
      <c r="G8" s="58" t="s">
        <v>195</v>
      </c>
      <c r="H8" s="58" t="s">
        <v>79</v>
      </c>
      <c r="I8" s="58">
        <v>1</v>
      </c>
      <c r="J8" s="58">
        <v>0</v>
      </c>
      <c r="K8" s="58">
        <v>1</v>
      </c>
      <c r="L8" s="58">
        <v>0</v>
      </c>
      <c r="M8" s="58">
        <v>1</v>
      </c>
      <c r="N8" s="58">
        <v>0</v>
      </c>
      <c r="O8" s="58" t="s">
        <v>80</v>
      </c>
      <c r="P8" s="58" t="s">
        <v>81</v>
      </c>
      <c r="Q8" s="58"/>
      <c r="R8" s="58"/>
      <c r="S8" s="84" t="s">
        <v>135</v>
      </c>
      <c r="T8" s="85" t="s">
        <v>196</v>
      </c>
      <c r="U8" s="79" t="s">
        <v>207</v>
      </c>
    </row>
    <row r="9" spans="1:21" ht="48">
      <c r="A9" s="23">
        <f t="shared" si="0"/>
        <v>6</v>
      </c>
      <c r="B9" s="78" t="s">
        <v>208</v>
      </c>
      <c r="C9" s="63" t="s">
        <v>209</v>
      </c>
      <c r="D9" s="58" t="s">
        <v>76</v>
      </c>
      <c r="E9" s="58">
        <v>0</v>
      </c>
      <c r="F9" s="81" t="s">
        <v>199</v>
      </c>
      <c r="G9" s="58" t="s">
        <v>195</v>
      </c>
      <c r="H9" s="78" t="s">
        <v>210</v>
      </c>
      <c r="I9" s="78">
        <v>2</v>
      </c>
      <c r="J9" s="78">
        <v>0</v>
      </c>
      <c r="K9" s="78">
        <v>1</v>
      </c>
      <c r="L9" s="78">
        <v>500</v>
      </c>
      <c r="M9" s="78">
        <v>3000</v>
      </c>
      <c r="N9" s="78">
        <v>2010</v>
      </c>
      <c r="O9" s="78" t="s">
        <v>211</v>
      </c>
      <c r="P9" s="58" t="s">
        <v>81</v>
      </c>
      <c r="Q9" s="58"/>
      <c r="R9" s="58"/>
      <c r="S9" s="84" t="s">
        <v>135</v>
      </c>
      <c r="T9" s="85" t="s">
        <v>202</v>
      </c>
      <c r="U9" s="79" t="s">
        <v>212</v>
      </c>
    </row>
    <row r="10" spans="1:21" ht="48">
      <c r="A10" s="23">
        <f t="shared" si="0"/>
        <v>7</v>
      </c>
      <c r="B10" s="78" t="s">
        <v>213</v>
      </c>
      <c r="C10" s="63" t="s">
        <v>214</v>
      </c>
      <c r="D10" s="58" t="s">
        <v>76</v>
      </c>
      <c r="E10" s="58">
        <v>0</v>
      </c>
      <c r="F10" s="81" t="s">
        <v>199</v>
      </c>
      <c r="G10" s="58" t="s">
        <v>195</v>
      </c>
      <c r="H10" s="78" t="s">
        <v>210</v>
      </c>
      <c r="I10" s="78">
        <v>2</v>
      </c>
      <c r="J10" s="78">
        <v>0</v>
      </c>
      <c r="K10" s="78">
        <v>1</v>
      </c>
      <c r="L10" s="78">
        <v>500</v>
      </c>
      <c r="M10" s="78">
        <v>3000</v>
      </c>
      <c r="N10" s="78">
        <v>2010</v>
      </c>
      <c r="O10" s="78" t="s">
        <v>211</v>
      </c>
      <c r="P10" s="58" t="s">
        <v>81</v>
      </c>
      <c r="Q10" s="58"/>
      <c r="R10" s="58"/>
      <c r="S10" s="84" t="s">
        <v>135</v>
      </c>
      <c r="T10" s="85" t="s">
        <v>196</v>
      </c>
      <c r="U10" s="79" t="s">
        <v>215</v>
      </c>
    </row>
    <row r="11" spans="1:21" ht="48">
      <c r="A11" s="23">
        <f t="shared" si="0"/>
        <v>8</v>
      </c>
      <c r="B11" s="78" t="s">
        <v>216</v>
      </c>
      <c r="C11" s="63" t="s">
        <v>217</v>
      </c>
      <c r="D11" s="58" t="s">
        <v>76</v>
      </c>
      <c r="E11" s="58">
        <v>0</v>
      </c>
      <c r="F11" s="81" t="s">
        <v>199</v>
      </c>
      <c r="G11" s="58" t="s">
        <v>195</v>
      </c>
      <c r="H11" s="78" t="s">
        <v>210</v>
      </c>
      <c r="I11" s="78">
        <v>2</v>
      </c>
      <c r="J11" s="78">
        <v>0</v>
      </c>
      <c r="K11" s="78">
        <v>1</v>
      </c>
      <c r="L11" s="78">
        <v>500</v>
      </c>
      <c r="M11" s="78">
        <v>3000</v>
      </c>
      <c r="N11" s="78">
        <v>500</v>
      </c>
      <c r="O11" s="78" t="s">
        <v>211</v>
      </c>
      <c r="P11" s="58" t="s">
        <v>81</v>
      </c>
      <c r="Q11" s="58"/>
      <c r="R11" s="58"/>
      <c r="S11" s="84" t="s">
        <v>135</v>
      </c>
      <c r="T11" s="85" t="s">
        <v>196</v>
      </c>
      <c r="U11" s="79" t="s">
        <v>218</v>
      </c>
    </row>
    <row r="12" spans="1:21" ht="48">
      <c r="A12" s="23">
        <f t="shared" si="0"/>
        <v>9</v>
      </c>
      <c r="B12" s="78" t="s">
        <v>219</v>
      </c>
      <c r="C12" s="63" t="s">
        <v>220</v>
      </c>
      <c r="D12" s="58" t="s">
        <v>76</v>
      </c>
      <c r="E12" s="58">
        <v>0</v>
      </c>
      <c r="F12" s="81" t="s">
        <v>199</v>
      </c>
      <c r="G12" s="58" t="s">
        <v>195</v>
      </c>
      <c r="H12" s="78" t="s">
        <v>210</v>
      </c>
      <c r="I12" s="78">
        <v>2</v>
      </c>
      <c r="J12" s="78">
        <v>0</v>
      </c>
      <c r="K12" s="78">
        <v>1</v>
      </c>
      <c r="L12" s="78">
        <v>500</v>
      </c>
      <c r="M12" s="78">
        <v>3000</v>
      </c>
      <c r="N12" s="78">
        <v>3000</v>
      </c>
      <c r="O12" s="78" t="s">
        <v>211</v>
      </c>
      <c r="P12" s="58" t="s">
        <v>81</v>
      </c>
      <c r="Q12" s="58"/>
      <c r="R12" s="58"/>
      <c r="S12" s="84" t="s">
        <v>135</v>
      </c>
      <c r="T12" s="85" t="s">
        <v>196</v>
      </c>
      <c r="U12" s="79" t="s">
        <v>221</v>
      </c>
    </row>
    <row r="13" spans="1:21" ht="48">
      <c r="A13" s="23">
        <f t="shared" si="0"/>
        <v>10</v>
      </c>
      <c r="B13" s="78" t="s">
        <v>222</v>
      </c>
      <c r="C13" s="63" t="s">
        <v>223</v>
      </c>
      <c r="D13" s="58" t="s">
        <v>76</v>
      </c>
      <c r="E13" s="58">
        <v>0</v>
      </c>
      <c r="F13" s="81" t="s">
        <v>199</v>
      </c>
      <c r="G13" s="58" t="s">
        <v>195</v>
      </c>
      <c r="H13" s="78" t="s">
        <v>123</v>
      </c>
      <c r="I13" s="78">
        <v>4</v>
      </c>
      <c r="J13" s="78">
        <v>0</v>
      </c>
      <c r="K13" s="78">
        <v>1E-4</v>
      </c>
      <c r="L13" s="78">
        <v>0</v>
      </c>
      <c r="M13" s="78">
        <v>420000</v>
      </c>
      <c r="N13" s="78">
        <v>0</v>
      </c>
      <c r="O13" s="78" t="s">
        <v>224</v>
      </c>
      <c r="P13" s="58" t="s">
        <v>81</v>
      </c>
      <c r="Q13" s="58"/>
      <c r="R13" s="58"/>
      <c r="S13" s="84" t="s">
        <v>83</v>
      </c>
      <c r="T13" s="85" t="s">
        <v>84</v>
      </c>
      <c r="U13" s="63" t="s">
        <v>225</v>
      </c>
    </row>
    <row r="14" spans="1:21" ht="48">
      <c r="A14" s="23">
        <f t="shared" si="0"/>
        <v>11</v>
      </c>
      <c r="B14" s="78" t="s">
        <v>226</v>
      </c>
      <c r="C14" s="63" t="s">
        <v>227</v>
      </c>
      <c r="D14" s="58" t="s">
        <v>76</v>
      </c>
      <c r="E14" s="58">
        <v>0</v>
      </c>
      <c r="F14" s="81" t="s">
        <v>199</v>
      </c>
      <c r="G14" s="58" t="s">
        <v>195</v>
      </c>
      <c r="H14" s="78" t="s">
        <v>123</v>
      </c>
      <c r="I14" s="78">
        <v>4</v>
      </c>
      <c r="J14" s="78">
        <v>0</v>
      </c>
      <c r="K14" s="78">
        <v>1E-4</v>
      </c>
      <c r="L14" s="78">
        <v>0</v>
      </c>
      <c r="M14" s="78">
        <v>420000</v>
      </c>
      <c r="N14" s="78">
        <v>0</v>
      </c>
      <c r="O14" s="78" t="s">
        <v>224</v>
      </c>
      <c r="P14" s="58" t="s">
        <v>81</v>
      </c>
      <c r="Q14" s="58"/>
      <c r="R14" s="58"/>
      <c r="S14" s="84" t="s">
        <v>83</v>
      </c>
      <c r="T14" s="85" t="s">
        <v>84</v>
      </c>
      <c r="U14" s="63" t="s">
        <v>228</v>
      </c>
    </row>
    <row r="15" spans="1:21" ht="119">
      <c r="A15" s="23">
        <f t="shared" si="0"/>
        <v>12</v>
      </c>
      <c r="B15" s="78" t="s">
        <v>229</v>
      </c>
      <c r="C15" s="63" t="s">
        <v>230</v>
      </c>
      <c r="D15" s="58" t="s">
        <v>76</v>
      </c>
      <c r="E15" s="58">
        <v>0</v>
      </c>
      <c r="F15" s="81" t="s">
        <v>199</v>
      </c>
      <c r="G15" s="58" t="s">
        <v>195</v>
      </c>
      <c r="H15" s="58" t="s">
        <v>79</v>
      </c>
      <c r="I15" s="78">
        <v>1</v>
      </c>
      <c r="J15" s="78">
        <v>0</v>
      </c>
      <c r="K15" s="78">
        <v>1</v>
      </c>
      <c r="L15" s="78">
        <v>0</v>
      </c>
      <c r="M15" s="78">
        <v>1</v>
      </c>
      <c r="N15" s="78">
        <v>0</v>
      </c>
      <c r="O15" s="78" t="s">
        <v>80</v>
      </c>
      <c r="P15" s="58" t="s">
        <v>81</v>
      </c>
      <c r="Q15" s="58"/>
      <c r="R15" s="58"/>
      <c r="S15" s="84" t="s">
        <v>83</v>
      </c>
      <c r="T15" s="85" t="s">
        <v>84</v>
      </c>
      <c r="U15" s="63" t="s">
        <v>231</v>
      </c>
    </row>
    <row r="16" spans="1:21" ht="68">
      <c r="A16" s="23">
        <f t="shared" si="0"/>
        <v>13</v>
      </c>
      <c r="B16" s="78" t="s">
        <v>232</v>
      </c>
      <c r="C16" s="63" t="s">
        <v>233</v>
      </c>
      <c r="D16" s="58" t="s">
        <v>76</v>
      </c>
      <c r="E16" s="58">
        <v>0</v>
      </c>
      <c r="F16" s="81" t="s">
        <v>199</v>
      </c>
      <c r="G16" s="58" t="s">
        <v>195</v>
      </c>
      <c r="H16" s="58" t="s">
        <v>79</v>
      </c>
      <c r="I16" s="78">
        <v>1</v>
      </c>
      <c r="J16" s="78">
        <v>0</v>
      </c>
      <c r="K16" s="78">
        <v>1</v>
      </c>
      <c r="L16" s="78">
        <v>0</v>
      </c>
      <c r="M16" s="78">
        <v>1</v>
      </c>
      <c r="N16" s="78">
        <v>1</v>
      </c>
      <c r="O16" s="78" t="s">
        <v>80</v>
      </c>
      <c r="P16" s="58" t="s">
        <v>81</v>
      </c>
      <c r="Q16" s="58"/>
      <c r="R16" s="58"/>
      <c r="S16" s="84" t="s">
        <v>135</v>
      </c>
      <c r="T16" s="85" t="s">
        <v>202</v>
      </c>
      <c r="U16" s="63" t="s">
        <v>234</v>
      </c>
    </row>
    <row r="17" spans="1:21" s="72" customFormat="1" ht="48">
      <c r="A17" s="23">
        <f t="shared" si="0"/>
        <v>14</v>
      </c>
      <c r="B17" s="78" t="s">
        <v>235</v>
      </c>
      <c r="C17" s="63" t="s">
        <v>236</v>
      </c>
      <c r="D17" s="58" t="s">
        <v>76</v>
      </c>
      <c r="E17" s="58">
        <v>0</v>
      </c>
      <c r="F17" s="81" t="s">
        <v>199</v>
      </c>
      <c r="G17" s="58" t="s">
        <v>195</v>
      </c>
      <c r="H17" s="58" t="s">
        <v>99</v>
      </c>
      <c r="I17" s="78">
        <v>12</v>
      </c>
      <c r="J17" s="78">
        <v>0</v>
      </c>
      <c r="K17" s="78">
        <v>0.01</v>
      </c>
      <c r="L17" s="78">
        <v>2</v>
      </c>
      <c r="M17" s="78">
        <v>100</v>
      </c>
      <c r="N17" s="78">
        <v>10</v>
      </c>
      <c r="O17" s="78" t="s">
        <v>237</v>
      </c>
      <c r="P17" s="58" t="s">
        <v>81</v>
      </c>
      <c r="Q17" s="58"/>
      <c r="R17" s="58"/>
      <c r="S17" s="84" t="s">
        <v>238</v>
      </c>
      <c r="T17" s="85" t="s">
        <v>239</v>
      </c>
      <c r="U17" s="63" t="s">
        <v>240</v>
      </c>
    </row>
    <row r="18" spans="1:21" s="72" customFormat="1" ht="48">
      <c r="A18" s="23">
        <f t="shared" si="0"/>
        <v>15</v>
      </c>
      <c r="B18" s="23" t="s">
        <v>241</v>
      </c>
      <c r="C18" s="35" t="s">
        <v>242</v>
      </c>
      <c r="D18" s="16" t="s">
        <v>76</v>
      </c>
      <c r="E18" s="16">
        <v>0</v>
      </c>
      <c r="F18" s="21" t="s">
        <v>199</v>
      </c>
      <c r="G18" s="16" t="s">
        <v>195</v>
      </c>
      <c r="H18" s="23" t="s">
        <v>210</v>
      </c>
      <c r="I18" s="23">
        <v>2</v>
      </c>
      <c r="J18" s="23">
        <v>0</v>
      </c>
      <c r="K18" s="23">
        <v>1</v>
      </c>
      <c r="L18" s="23">
        <v>0</v>
      </c>
      <c r="M18" s="23">
        <v>1000</v>
      </c>
      <c r="N18" s="23">
        <v>250</v>
      </c>
      <c r="O18" s="23" t="s">
        <v>243</v>
      </c>
      <c r="P18" s="16" t="s">
        <v>81</v>
      </c>
      <c r="Q18" s="16"/>
      <c r="R18" s="16"/>
      <c r="S18" s="83" t="s">
        <v>135</v>
      </c>
      <c r="T18" s="30" t="s">
        <v>196</v>
      </c>
      <c r="U18" s="35"/>
    </row>
    <row r="19" spans="1:21" ht="48">
      <c r="A19" s="23">
        <f t="shared" si="0"/>
        <v>16</v>
      </c>
      <c r="B19" s="23" t="s">
        <v>244</v>
      </c>
      <c r="C19" s="35" t="s">
        <v>245</v>
      </c>
      <c r="D19" s="16" t="s">
        <v>76</v>
      </c>
      <c r="E19" s="16">
        <v>0</v>
      </c>
      <c r="F19" s="21" t="s">
        <v>199</v>
      </c>
      <c r="G19" s="16" t="s">
        <v>195</v>
      </c>
      <c r="H19" s="23" t="s">
        <v>123</v>
      </c>
      <c r="I19" s="23">
        <v>4</v>
      </c>
      <c r="J19" s="23">
        <v>0</v>
      </c>
      <c r="K19" s="23">
        <v>1E-4</v>
      </c>
      <c r="L19" s="23">
        <v>0</v>
      </c>
      <c r="M19" s="23">
        <v>420000</v>
      </c>
      <c r="N19" s="23">
        <v>420000</v>
      </c>
      <c r="O19" s="23" t="s">
        <v>224</v>
      </c>
      <c r="P19" s="16" t="s">
        <v>81</v>
      </c>
      <c r="Q19" s="16"/>
      <c r="R19" s="16"/>
      <c r="S19" s="83" t="s">
        <v>135</v>
      </c>
      <c r="T19" s="85" t="s">
        <v>202</v>
      </c>
      <c r="U19" s="35"/>
    </row>
    <row r="20" spans="1:21" ht="153">
      <c r="A20" s="23">
        <f t="shared" si="0"/>
        <v>17</v>
      </c>
      <c r="B20" s="23" t="s">
        <v>246</v>
      </c>
      <c r="C20" s="35" t="s">
        <v>247</v>
      </c>
      <c r="D20" s="16" t="s">
        <v>76</v>
      </c>
      <c r="E20" s="16">
        <v>0</v>
      </c>
      <c r="F20" s="21" t="s">
        <v>199</v>
      </c>
      <c r="G20" s="16" t="s">
        <v>195</v>
      </c>
      <c r="H20" s="23" t="s">
        <v>123</v>
      </c>
      <c r="I20" s="23">
        <v>8</v>
      </c>
      <c r="J20" s="16">
        <v>0</v>
      </c>
      <c r="K20" s="23">
        <v>1</v>
      </c>
      <c r="L20" s="23">
        <v>0</v>
      </c>
      <c r="M20" s="23">
        <v>0</v>
      </c>
      <c r="N20" s="23">
        <v>0</v>
      </c>
      <c r="O20" s="23" t="s">
        <v>248</v>
      </c>
      <c r="P20" s="16" t="s">
        <v>81</v>
      </c>
      <c r="Q20" s="16"/>
      <c r="R20" s="16"/>
      <c r="S20" s="83" t="s">
        <v>135</v>
      </c>
      <c r="T20" s="85" t="s">
        <v>202</v>
      </c>
      <c r="U20" s="47" t="s">
        <v>249</v>
      </c>
    </row>
    <row r="21" spans="1:21" s="72" customFormat="1" ht="48">
      <c r="A21" s="23">
        <f t="shared" si="0"/>
        <v>18</v>
      </c>
      <c r="B21" s="23" t="s">
        <v>250</v>
      </c>
      <c r="C21" s="35" t="s">
        <v>251</v>
      </c>
      <c r="D21" s="16" t="s">
        <v>76</v>
      </c>
      <c r="E21" s="16">
        <v>0</v>
      </c>
      <c r="F21" s="21" t="s">
        <v>199</v>
      </c>
      <c r="G21" s="16" t="s">
        <v>195</v>
      </c>
      <c r="H21" s="23" t="s">
        <v>79</v>
      </c>
      <c r="I21" s="23">
        <v>1</v>
      </c>
      <c r="J21" s="23">
        <v>0</v>
      </c>
      <c r="K21" s="23">
        <v>1</v>
      </c>
      <c r="L21" s="23">
        <v>0</v>
      </c>
      <c r="M21" s="23">
        <v>1</v>
      </c>
      <c r="N21" s="23">
        <v>0</v>
      </c>
      <c r="O21" s="23" t="s">
        <v>80</v>
      </c>
      <c r="P21" s="16" t="s">
        <v>81</v>
      </c>
      <c r="Q21" s="16"/>
      <c r="R21" s="16"/>
      <c r="S21" s="83" t="s">
        <v>135</v>
      </c>
      <c r="T21" s="30" t="s">
        <v>252</v>
      </c>
      <c r="U21" s="35"/>
    </row>
    <row r="22" spans="1:21" ht="48">
      <c r="A22" s="23">
        <f t="shared" si="0"/>
        <v>19</v>
      </c>
      <c r="B22" s="23" t="s">
        <v>253</v>
      </c>
      <c r="C22" s="35" t="s">
        <v>254</v>
      </c>
      <c r="D22" s="16" t="s">
        <v>76</v>
      </c>
      <c r="E22" s="16">
        <v>0</v>
      </c>
      <c r="F22" s="21" t="s">
        <v>199</v>
      </c>
      <c r="G22" s="16" t="s">
        <v>195</v>
      </c>
      <c r="H22" s="23" t="s">
        <v>123</v>
      </c>
      <c r="I22" s="23">
        <v>4</v>
      </c>
      <c r="J22" s="23">
        <v>0</v>
      </c>
      <c r="K22" s="23">
        <v>1E-4</v>
      </c>
      <c r="L22" s="23">
        <v>0</v>
      </c>
      <c r="M22" s="23">
        <v>420000</v>
      </c>
      <c r="N22" s="23">
        <v>0</v>
      </c>
      <c r="O22" s="23" t="s">
        <v>224</v>
      </c>
      <c r="P22" s="23" t="s">
        <v>119</v>
      </c>
      <c r="Q22" s="23"/>
      <c r="R22" s="23"/>
      <c r="S22" s="83" t="s">
        <v>238</v>
      </c>
      <c r="T22" s="30" t="s">
        <v>239</v>
      </c>
      <c r="U22" s="35"/>
    </row>
    <row r="23" spans="1:21" ht="48">
      <c r="A23" s="23">
        <f t="shared" si="0"/>
        <v>20</v>
      </c>
      <c r="B23" s="23" t="s">
        <v>255</v>
      </c>
      <c r="C23" s="35" t="s">
        <v>256</v>
      </c>
      <c r="D23" s="16" t="s">
        <v>76</v>
      </c>
      <c r="E23" s="16">
        <v>0</v>
      </c>
      <c r="F23" s="21" t="s">
        <v>199</v>
      </c>
      <c r="G23" s="16" t="s">
        <v>195</v>
      </c>
      <c r="H23" s="23" t="s">
        <v>123</v>
      </c>
      <c r="I23" s="23">
        <v>4</v>
      </c>
      <c r="J23" s="23">
        <v>0</v>
      </c>
      <c r="K23" s="23">
        <v>1E-4</v>
      </c>
      <c r="L23" s="23">
        <v>0</v>
      </c>
      <c r="M23" s="23">
        <v>420000</v>
      </c>
      <c r="N23" s="23">
        <v>0</v>
      </c>
      <c r="O23" s="23" t="s">
        <v>224</v>
      </c>
      <c r="P23" s="23" t="s">
        <v>119</v>
      </c>
      <c r="Q23" s="23"/>
      <c r="R23" s="23"/>
      <c r="S23" s="83" t="s">
        <v>238</v>
      </c>
      <c r="T23" s="30" t="s">
        <v>239</v>
      </c>
      <c r="U23" s="35"/>
    </row>
    <row r="24" spans="1:21" ht="48">
      <c r="A24" s="23">
        <f t="shared" si="0"/>
        <v>21</v>
      </c>
      <c r="B24" s="23" t="s">
        <v>257</v>
      </c>
      <c r="C24" s="35" t="s">
        <v>258</v>
      </c>
      <c r="D24" s="16" t="s">
        <v>76</v>
      </c>
      <c r="E24" s="16">
        <v>0</v>
      </c>
      <c r="F24" s="21" t="s">
        <v>199</v>
      </c>
      <c r="G24" s="16" t="s">
        <v>195</v>
      </c>
      <c r="H24" s="23" t="s">
        <v>123</v>
      </c>
      <c r="I24" s="23">
        <v>4</v>
      </c>
      <c r="J24" s="23">
        <v>0</v>
      </c>
      <c r="K24" s="23">
        <v>1E-4</v>
      </c>
      <c r="L24" s="23">
        <v>0</v>
      </c>
      <c r="M24" s="23">
        <v>420000</v>
      </c>
      <c r="N24" s="23">
        <v>0</v>
      </c>
      <c r="O24" s="23" t="s">
        <v>224</v>
      </c>
      <c r="P24" s="23" t="s">
        <v>119</v>
      </c>
      <c r="Q24" s="23"/>
      <c r="R24" s="23"/>
      <c r="S24" s="83" t="s">
        <v>238</v>
      </c>
      <c r="T24" s="30" t="s">
        <v>239</v>
      </c>
      <c r="U24" s="35"/>
    </row>
    <row r="25" spans="1:21" ht="48">
      <c r="A25" s="23">
        <f t="shared" si="0"/>
        <v>22</v>
      </c>
      <c r="B25" s="23" t="s">
        <v>259</v>
      </c>
      <c r="C25" s="35" t="s">
        <v>260</v>
      </c>
      <c r="D25" s="16" t="s">
        <v>76</v>
      </c>
      <c r="E25" s="16">
        <v>0</v>
      </c>
      <c r="F25" s="21" t="s">
        <v>199</v>
      </c>
      <c r="G25" s="16" t="s">
        <v>195</v>
      </c>
      <c r="H25" s="23" t="s">
        <v>123</v>
      </c>
      <c r="I25" s="23">
        <v>4</v>
      </c>
      <c r="J25" s="23">
        <v>0</v>
      </c>
      <c r="K25" s="23">
        <v>1</v>
      </c>
      <c r="L25" s="23">
        <v>1</v>
      </c>
      <c r="M25" s="23" t="s">
        <v>124</v>
      </c>
      <c r="N25" s="23">
        <v>1</v>
      </c>
      <c r="O25" s="23" t="s">
        <v>248</v>
      </c>
      <c r="P25" s="23" t="s">
        <v>119</v>
      </c>
      <c r="Q25" s="23"/>
      <c r="R25" s="23"/>
      <c r="S25" s="83" t="s">
        <v>238</v>
      </c>
      <c r="T25" s="30" t="s">
        <v>239</v>
      </c>
      <c r="U25" s="35" t="s">
        <v>261</v>
      </c>
    </row>
    <row r="26" spans="1:21" ht="48">
      <c r="A26" s="23">
        <f t="shared" si="0"/>
        <v>23</v>
      </c>
      <c r="B26" s="23" t="s">
        <v>262</v>
      </c>
      <c r="C26" s="35" t="s">
        <v>263</v>
      </c>
      <c r="D26" s="16" t="s">
        <v>76</v>
      </c>
      <c r="E26" s="16">
        <v>0</v>
      </c>
      <c r="F26" s="21" t="s">
        <v>199</v>
      </c>
      <c r="G26" s="16" t="s">
        <v>195</v>
      </c>
      <c r="H26" s="23" t="s">
        <v>123</v>
      </c>
      <c r="I26" s="23">
        <v>4</v>
      </c>
      <c r="J26" s="23">
        <v>0</v>
      </c>
      <c r="K26" s="23">
        <v>1</v>
      </c>
      <c r="L26" s="23">
        <v>1</v>
      </c>
      <c r="M26" s="23" t="s">
        <v>124</v>
      </c>
      <c r="N26" s="23">
        <v>1</v>
      </c>
      <c r="O26" s="23" t="s">
        <v>248</v>
      </c>
      <c r="P26" s="23" t="s">
        <v>119</v>
      </c>
      <c r="Q26" s="23"/>
      <c r="R26" s="23"/>
      <c r="S26" s="83" t="s">
        <v>238</v>
      </c>
      <c r="T26" s="30" t="s">
        <v>239</v>
      </c>
      <c r="U26" s="35" t="s">
        <v>264</v>
      </c>
    </row>
    <row r="27" spans="1:21" ht="48">
      <c r="A27" s="23">
        <f t="shared" si="0"/>
        <v>24</v>
      </c>
      <c r="B27" s="23" t="s">
        <v>265</v>
      </c>
      <c r="C27" s="35" t="s">
        <v>266</v>
      </c>
      <c r="D27" s="16" t="s">
        <v>76</v>
      </c>
      <c r="E27" s="16">
        <v>0</v>
      </c>
      <c r="F27" s="21" t="s">
        <v>199</v>
      </c>
      <c r="G27" s="16" t="s">
        <v>195</v>
      </c>
      <c r="H27" s="23" t="s">
        <v>210</v>
      </c>
      <c r="I27" s="23">
        <v>2</v>
      </c>
      <c r="J27" s="23">
        <v>0</v>
      </c>
      <c r="K27" s="23">
        <v>0.1</v>
      </c>
      <c r="L27" s="23">
        <v>0</v>
      </c>
      <c r="M27" s="23">
        <v>99.9</v>
      </c>
      <c r="N27" s="23">
        <v>0</v>
      </c>
      <c r="O27" s="23" t="s">
        <v>267</v>
      </c>
      <c r="P27" s="23" t="s">
        <v>119</v>
      </c>
      <c r="Q27" s="23"/>
      <c r="R27" s="23"/>
      <c r="S27" s="83" t="s">
        <v>83</v>
      </c>
      <c r="T27" s="30" t="s">
        <v>84</v>
      </c>
      <c r="U27" s="35"/>
    </row>
    <row r="28" spans="1:21" ht="48">
      <c r="A28" s="23">
        <f t="shared" si="0"/>
        <v>25</v>
      </c>
      <c r="B28" s="78" t="s">
        <v>268</v>
      </c>
      <c r="C28" s="35" t="s">
        <v>269</v>
      </c>
      <c r="D28" s="16" t="s">
        <v>76</v>
      </c>
      <c r="E28" s="16">
        <v>0</v>
      </c>
      <c r="F28" s="21" t="s">
        <v>199</v>
      </c>
      <c r="G28" s="16" t="s">
        <v>195</v>
      </c>
      <c r="H28" s="23" t="s">
        <v>210</v>
      </c>
      <c r="I28" s="23">
        <v>2</v>
      </c>
      <c r="J28" s="23">
        <v>0</v>
      </c>
      <c r="K28" s="23">
        <v>0.1</v>
      </c>
      <c r="L28" s="23">
        <v>0</v>
      </c>
      <c r="M28" s="23">
        <v>99.9</v>
      </c>
      <c r="N28" s="23">
        <v>0</v>
      </c>
      <c r="O28" s="23" t="s">
        <v>267</v>
      </c>
      <c r="P28" s="23" t="s">
        <v>119</v>
      </c>
      <c r="Q28" s="23"/>
      <c r="R28" s="23"/>
      <c r="S28" s="83" t="s">
        <v>238</v>
      </c>
      <c r="T28" s="30" t="s">
        <v>239</v>
      </c>
      <c r="U28" s="35"/>
    </row>
    <row r="29" spans="1:21" ht="48">
      <c r="A29" s="40">
        <f t="shared" si="0"/>
        <v>26</v>
      </c>
      <c r="B29" s="40" t="s">
        <v>270</v>
      </c>
      <c r="C29" s="80" t="s">
        <v>271</v>
      </c>
      <c r="D29" s="36" t="s">
        <v>76</v>
      </c>
      <c r="E29" s="36">
        <v>0</v>
      </c>
      <c r="F29" s="39" t="s">
        <v>199</v>
      </c>
      <c r="G29" s="36" t="s">
        <v>195</v>
      </c>
      <c r="H29" s="36" t="s">
        <v>99</v>
      </c>
      <c r="I29" s="40">
        <v>12</v>
      </c>
      <c r="J29" s="40">
        <v>0</v>
      </c>
      <c r="K29" s="40">
        <v>1</v>
      </c>
      <c r="L29" s="40">
        <v>0</v>
      </c>
      <c r="M29" s="40">
        <v>500</v>
      </c>
      <c r="N29" s="40" t="s">
        <v>272</v>
      </c>
      <c r="O29" s="40" t="s">
        <v>224</v>
      </c>
      <c r="P29" s="40" t="s">
        <v>119</v>
      </c>
      <c r="Q29" s="40"/>
      <c r="R29" s="40"/>
      <c r="S29" s="86" t="s">
        <v>238</v>
      </c>
      <c r="T29" s="43" t="s">
        <v>239</v>
      </c>
      <c r="U29" s="80"/>
    </row>
    <row r="30" spans="1:21" ht="48">
      <c r="A30" s="23">
        <f t="shared" si="0"/>
        <v>27</v>
      </c>
      <c r="B30" s="23" t="s">
        <v>273</v>
      </c>
      <c r="C30" s="35" t="s">
        <v>274</v>
      </c>
      <c r="D30" s="16" t="s">
        <v>76</v>
      </c>
      <c r="E30" s="16">
        <v>0</v>
      </c>
      <c r="F30" s="21" t="s">
        <v>199</v>
      </c>
      <c r="G30" s="16" t="s">
        <v>195</v>
      </c>
      <c r="H30" s="23" t="s">
        <v>210</v>
      </c>
      <c r="I30" s="23">
        <v>2</v>
      </c>
      <c r="J30" s="23">
        <v>0</v>
      </c>
      <c r="K30" s="23">
        <v>1</v>
      </c>
      <c r="L30" s="23">
        <v>0</v>
      </c>
      <c r="M30" s="23">
        <v>2000</v>
      </c>
      <c r="N30" s="23">
        <v>0</v>
      </c>
      <c r="O30" s="23" t="s">
        <v>243</v>
      </c>
      <c r="P30" s="23" t="s">
        <v>119</v>
      </c>
      <c r="Q30" s="23"/>
      <c r="R30" s="23"/>
      <c r="S30" s="83" t="s">
        <v>83</v>
      </c>
      <c r="T30" s="30" t="s">
        <v>84</v>
      </c>
      <c r="U30" s="35"/>
    </row>
    <row r="31" spans="1:21" ht="48">
      <c r="A31" s="23">
        <f t="shared" si="0"/>
        <v>28</v>
      </c>
      <c r="B31" s="23" t="s">
        <v>275</v>
      </c>
      <c r="C31" s="35" t="s">
        <v>276</v>
      </c>
      <c r="D31" s="16" t="s">
        <v>76</v>
      </c>
      <c r="E31" s="16">
        <v>0</v>
      </c>
      <c r="F31" s="21" t="s">
        <v>199</v>
      </c>
      <c r="G31" s="16" t="s">
        <v>195</v>
      </c>
      <c r="H31" s="23" t="s">
        <v>210</v>
      </c>
      <c r="I31" s="23">
        <v>2</v>
      </c>
      <c r="J31" s="23">
        <v>0</v>
      </c>
      <c r="K31" s="23">
        <v>1</v>
      </c>
      <c r="L31" s="23">
        <v>0</v>
      </c>
      <c r="M31" s="23">
        <v>2000</v>
      </c>
      <c r="N31" s="23">
        <v>0</v>
      </c>
      <c r="O31" s="23" t="s">
        <v>243</v>
      </c>
      <c r="P31" s="23" t="s">
        <v>119</v>
      </c>
      <c r="Q31" s="23"/>
      <c r="R31" s="23"/>
      <c r="S31" s="83" t="s">
        <v>83</v>
      </c>
      <c r="T31" s="30" t="s">
        <v>84</v>
      </c>
      <c r="U31" s="35"/>
    </row>
    <row r="32" spans="1:21" s="72" customFormat="1" ht="48">
      <c r="A32" s="23">
        <f t="shared" si="0"/>
        <v>29</v>
      </c>
      <c r="B32" s="23" t="s">
        <v>277</v>
      </c>
      <c r="C32" s="35" t="s">
        <v>278</v>
      </c>
      <c r="D32" s="16" t="s">
        <v>76</v>
      </c>
      <c r="E32" s="16">
        <v>0</v>
      </c>
      <c r="F32" s="21" t="s">
        <v>199</v>
      </c>
      <c r="G32" s="16" t="s">
        <v>195</v>
      </c>
      <c r="H32" s="16" t="s">
        <v>79</v>
      </c>
      <c r="I32" s="23">
        <v>1</v>
      </c>
      <c r="J32" s="23">
        <v>0</v>
      </c>
      <c r="K32" s="23">
        <v>1</v>
      </c>
      <c r="L32" s="23">
        <v>0</v>
      </c>
      <c r="M32" s="23">
        <v>1</v>
      </c>
      <c r="N32" s="23">
        <v>0</v>
      </c>
      <c r="O32" s="23" t="s">
        <v>80</v>
      </c>
      <c r="P32" s="23" t="s">
        <v>119</v>
      </c>
      <c r="Q32" s="23"/>
      <c r="R32" s="23"/>
      <c r="S32" s="83" t="s">
        <v>135</v>
      </c>
      <c r="T32" s="30" t="s">
        <v>252</v>
      </c>
      <c r="U32" s="35"/>
    </row>
    <row r="33" spans="1:21" s="72" customFormat="1" ht="48">
      <c r="A33" s="23">
        <f t="shared" si="0"/>
        <v>30</v>
      </c>
      <c r="B33" s="78" t="s">
        <v>279</v>
      </c>
      <c r="C33" s="63" t="s">
        <v>280</v>
      </c>
      <c r="D33" s="58" t="s">
        <v>76</v>
      </c>
      <c r="E33" s="58">
        <v>0</v>
      </c>
      <c r="F33" s="81" t="s">
        <v>199</v>
      </c>
      <c r="G33" s="58" t="s">
        <v>195</v>
      </c>
      <c r="H33" s="58" t="s">
        <v>123</v>
      </c>
      <c r="I33" s="78">
        <v>4</v>
      </c>
      <c r="J33" s="78">
        <v>0</v>
      </c>
      <c r="K33" s="78">
        <v>0.1</v>
      </c>
      <c r="L33" s="78">
        <v>0</v>
      </c>
      <c r="M33" s="78">
        <v>420000000</v>
      </c>
      <c r="N33" s="78">
        <v>0</v>
      </c>
      <c r="O33" s="78" t="s">
        <v>80</v>
      </c>
      <c r="P33" s="78" t="s">
        <v>119</v>
      </c>
      <c r="Q33" s="78"/>
      <c r="R33" s="78"/>
      <c r="S33" s="84" t="s">
        <v>135</v>
      </c>
      <c r="T33" s="85" t="s">
        <v>239</v>
      </c>
      <c r="U33" s="63"/>
    </row>
    <row r="34" spans="1:21" s="71" customFormat="1" ht="36" customHeight="1">
      <c r="A34" s="89" t="s">
        <v>281</v>
      </c>
      <c r="B34" s="77"/>
      <c r="C34" s="77"/>
      <c r="D34" s="77"/>
      <c r="E34" s="77"/>
      <c r="F34" s="77"/>
      <c r="G34" s="77"/>
      <c r="H34" s="77"/>
      <c r="I34" s="77"/>
      <c r="J34" s="77"/>
      <c r="K34" s="82"/>
      <c r="L34" s="77"/>
      <c r="M34" s="82"/>
      <c r="N34" s="82"/>
      <c r="O34" s="82"/>
      <c r="P34" s="77"/>
      <c r="Q34" s="77"/>
      <c r="R34" s="77"/>
      <c r="S34" s="77"/>
      <c r="T34" s="32"/>
      <c r="U34" s="88"/>
    </row>
    <row r="35" spans="1:21" ht="85">
      <c r="A35" s="23">
        <f>A33+1</f>
        <v>31</v>
      </c>
      <c r="B35" s="23" t="s">
        <v>282</v>
      </c>
      <c r="C35" s="35" t="s">
        <v>283</v>
      </c>
      <c r="D35" s="16" t="s">
        <v>76</v>
      </c>
      <c r="E35" s="16">
        <v>0</v>
      </c>
      <c r="F35" s="21" t="s">
        <v>199</v>
      </c>
      <c r="G35" s="16" t="s">
        <v>195</v>
      </c>
      <c r="H35" s="16" t="s">
        <v>79</v>
      </c>
      <c r="I35" s="23">
        <v>1</v>
      </c>
      <c r="J35" s="23">
        <v>0</v>
      </c>
      <c r="K35" s="23">
        <v>1</v>
      </c>
      <c r="L35" s="23">
        <v>0</v>
      </c>
      <c r="M35" s="23">
        <v>1</v>
      </c>
      <c r="N35" s="23">
        <v>0</v>
      </c>
      <c r="O35" s="23" t="s">
        <v>80</v>
      </c>
      <c r="P35" s="16" t="s">
        <v>81</v>
      </c>
      <c r="Q35" s="16"/>
      <c r="R35" s="16"/>
      <c r="S35" s="83" t="s">
        <v>135</v>
      </c>
      <c r="T35" s="30" t="s">
        <v>196</v>
      </c>
      <c r="U35" s="90" t="s">
        <v>284</v>
      </c>
    </row>
    <row r="36" spans="1:21" ht="119">
      <c r="A36" s="23">
        <f t="shared" ref="A36:A50" si="1">A35+1</f>
        <v>32</v>
      </c>
      <c r="B36" s="23" t="s">
        <v>285</v>
      </c>
      <c r="C36" s="35" t="s">
        <v>286</v>
      </c>
      <c r="D36" s="16" t="s">
        <v>76</v>
      </c>
      <c r="E36" s="16">
        <v>0</v>
      </c>
      <c r="F36" s="21" t="s">
        <v>199</v>
      </c>
      <c r="G36" s="16" t="s">
        <v>195</v>
      </c>
      <c r="H36" s="16" t="s">
        <v>79</v>
      </c>
      <c r="I36" s="23">
        <v>1</v>
      </c>
      <c r="J36" s="23">
        <v>0</v>
      </c>
      <c r="K36" s="23">
        <v>1</v>
      </c>
      <c r="L36" s="23">
        <v>0</v>
      </c>
      <c r="M36" s="23">
        <v>1</v>
      </c>
      <c r="N36" s="23">
        <v>0</v>
      </c>
      <c r="O36" s="23" t="s">
        <v>80</v>
      </c>
      <c r="P36" s="16" t="s">
        <v>81</v>
      </c>
      <c r="Q36" s="16"/>
      <c r="R36" s="16"/>
      <c r="S36" s="83" t="s">
        <v>135</v>
      </c>
      <c r="T36" s="30" t="s">
        <v>196</v>
      </c>
      <c r="U36" s="91" t="s">
        <v>287</v>
      </c>
    </row>
    <row r="37" spans="1:21" ht="51">
      <c r="A37" s="23">
        <f t="shared" si="1"/>
        <v>33</v>
      </c>
      <c r="B37" s="23" t="s">
        <v>288</v>
      </c>
      <c r="C37" s="35" t="s">
        <v>289</v>
      </c>
      <c r="D37" s="16" t="s">
        <v>76</v>
      </c>
      <c r="E37" s="16">
        <v>0</v>
      </c>
      <c r="F37" s="21" t="s">
        <v>199</v>
      </c>
      <c r="G37" s="16" t="s">
        <v>195</v>
      </c>
      <c r="H37" s="16" t="s">
        <v>79</v>
      </c>
      <c r="I37" s="23">
        <v>1</v>
      </c>
      <c r="J37" s="23">
        <v>0</v>
      </c>
      <c r="K37" s="23">
        <v>1</v>
      </c>
      <c r="L37" s="23">
        <v>0</v>
      </c>
      <c r="M37" s="23">
        <v>1</v>
      </c>
      <c r="N37" s="23">
        <v>0</v>
      </c>
      <c r="O37" s="23" t="s">
        <v>80</v>
      </c>
      <c r="P37" s="16" t="s">
        <v>81</v>
      </c>
      <c r="Q37" s="16"/>
      <c r="R37" s="16"/>
      <c r="S37" s="83" t="s">
        <v>135</v>
      </c>
      <c r="T37" s="30" t="s">
        <v>202</v>
      </c>
      <c r="U37" s="35" t="s">
        <v>290</v>
      </c>
    </row>
    <row r="38" spans="1:21" ht="68">
      <c r="A38" s="23">
        <f t="shared" si="1"/>
        <v>34</v>
      </c>
      <c r="B38" s="23" t="s">
        <v>291</v>
      </c>
      <c r="C38" s="35" t="s">
        <v>292</v>
      </c>
      <c r="D38" s="16" t="s">
        <v>76</v>
      </c>
      <c r="E38" s="16">
        <v>0</v>
      </c>
      <c r="F38" s="21" t="s">
        <v>199</v>
      </c>
      <c r="G38" s="16" t="s">
        <v>195</v>
      </c>
      <c r="H38" s="16" t="s">
        <v>79</v>
      </c>
      <c r="I38" s="23">
        <v>1</v>
      </c>
      <c r="J38" s="23">
        <v>0</v>
      </c>
      <c r="K38" s="23">
        <v>1</v>
      </c>
      <c r="L38" s="23">
        <v>0</v>
      </c>
      <c r="M38" s="23">
        <v>20</v>
      </c>
      <c r="N38" s="23">
        <v>0</v>
      </c>
      <c r="O38" s="23" t="s">
        <v>80</v>
      </c>
      <c r="P38" s="16" t="s">
        <v>81</v>
      </c>
      <c r="Q38" s="16"/>
      <c r="R38" s="16"/>
      <c r="S38" s="83" t="s">
        <v>135</v>
      </c>
      <c r="T38" s="30" t="s">
        <v>202</v>
      </c>
      <c r="U38" s="35" t="s">
        <v>293</v>
      </c>
    </row>
    <row r="39" spans="1:21" s="71" customFormat="1" ht="36" customHeight="1">
      <c r="A39" s="89" t="s">
        <v>294</v>
      </c>
      <c r="B39" s="77"/>
      <c r="C39" s="77"/>
      <c r="D39" s="77"/>
      <c r="E39" s="77"/>
      <c r="F39" s="77"/>
      <c r="G39" s="77"/>
      <c r="H39" s="77"/>
      <c r="I39" s="77"/>
      <c r="J39" s="77"/>
      <c r="K39" s="82"/>
      <c r="L39" s="77"/>
      <c r="M39" s="82"/>
      <c r="N39" s="82"/>
      <c r="O39" s="82"/>
      <c r="P39" s="77"/>
      <c r="Q39" s="77"/>
      <c r="R39" s="77"/>
      <c r="S39" s="77"/>
      <c r="T39" s="32"/>
      <c r="U39" s="88"/>
    </row>
    <row r="40" spans="1:21" ht="85">
      <c r="A40" s="23">
        <f>A38+1</f>
        <v>35</v>
      </c>
      <c r="B40" s="23" t="s">
        <v>295</v>
      </c>
      <c r="C40" s="35" t="s">
        <v>296</v>
      </c>
      <c r="D40" s="16" t="s">
        <v>76</v>
      </c>
      <c r="E40" s="16">
        <v>0</v>
      </c>
      <c r="F40" s="21" t="s">
        <v>199</v>
      </c>
      <c r="G40" s="16" t="s">
        <v>195</v>
      </c>
      <c r="H40" s="16" t="s">
        <v>79</v>
      </c>
      <c r="I40" s="23">
        <v>1</v>
      </c>
      <c r="J40" s="23">
        <v>0</v>
      </c>
      <c r="K40" s="23">
        <v>1</v>
      </c>
      <c r="L40" s="23">
        <v>0</v>
      </c>
      <c r="M40" s="23">
        <v>1</v>
      </c>
      <c r="N40" s="23">
        <v>1</v>
      </c>
      <c r="O40" s="23" t="s">
        <v>80</v>
      </c>
      <c r="P40" s="16" t="s">
        <v>81</v>
      </c>
      <c r="Q40" s="16"/>
      <c r="R40" s="16"/>
      <c r="S40" s="83" t="s">
        <v>135</v>
      </c>
      <c r="T40" s="30" t="s">
        <v>196</v>
      </c>
      <c r="U40" s="49" t="s">
        <v>297</v>
      </c>
    </row>
    <row r="41" spans="1:21" ht="48">
      <c r="A41" s="23">
        <f t="shared" si="1"/>
        <v>36</v>
      </c>
      <c r="B41" s="23" t="s">
        <v>298</v>
      </c>
      <c r="C41" s="35" t="s">
        <v>299</v>
      </c>
      <c r="D41" s="16" t="s">
        <v>76</v>
      </c>
      <c r="E41" s="16">
        <v>0</v>
      </c>
      <c r="F41" s="21" t="s">
        <v>199</v>
      </c>
      <c r="G41" s="16" t="s">
        <v>195</v>
      </c>
      <c r="H41" s="23" t="s">
        <v>210</v>
      </c>
      <c r="I41" s="23">
        <v>2</v>
      </c>
      <c r="J41" s="23">
        <v>0</v>
      </c>
      <c r="K41" s="23">
        <v>1</v>
      </c>
      <c r="L41" s="23">
        <v>0</v>
      </c>
      <c r="M41" s="78">
        <v>65000</v>
      </c>
      <c r="N41" s="23">
        <v>10400</v>
      </c>
      <c r="O41" s="23" t="s">
        <v>300</v>
      </c>
      <c r="P41" s="16" t="s">
        <v>81</v>
      </c>
      <c r="Q41" s="16"/>
      <c r="R41" s="16"/>
      <c r="S41" s="83" t="s">
        <v>135</v>
      </c>
      <c r="T41" s="30" t="s">
        <v>196</v>
      </c>
      <c r="U41" s="35"/>
    </row>
    <row r="42" spans="1:21" ht="48">
      <c r="A42" s="23">
        <f t="shared" si="1"/>
        <v>37</v>
      </c>
      <c r="B42" s="78" t="s">
        <v>301</v>
      </c>
      <c r="C42" s="63" t="s">
        <v>302</v>
      </c>
      <c r="D42" s="16" t="s">
        <v>76</v>
      </c>
      <c r="E42" s="58">
        <v>0</v>
      </c>
      <c r="F42" s="81" t="s">
        <v>199</v>
      </c>
      <c r="G42" s="58" t="s">
        <v>195</v>
      </c>
      <c r="H42" s="78" t="s">
        <v>210</v>
      </c>
      <c r="I42" s="78">
        <v>2</v>
      </c>
      <c r="J42" s="78">
        <v>0</v>
      </c>
      <c r="K42" s="78">
        <v>0.01</v>
      </c>
      <c r="L42" s="78">
        <v>0</v>
      </c>
      <c r="M42" s="78">
        <v>30</v>
      </c>
      <c r="N42" s="78">
        <v>14</v>
      </c>
      <c r="O42" s="78" t="s">
        <v>303</v>
      </c>
      <c r="P42" s="58" t="s">
        <v>81</v>
      </c>
      <c r="Q42" s="58"/>
      <c r="R42" s="58"/>
      <c r="S42" s="84" t="s">
        <v>135</v>
      </c>
      <c r="T42" s="30" t="s">
        <v>196</v>
      </c>
      <c r="U42" s="35"/>
    </row>
    <row r="43" spans="1:21" ht="48">
      <c r="A43" s="23">
        <f t="shared" si="1"/>
        <v>38</v>
      </c>
      <c r="B43" s="78" t="s">
        <v>304</v>
      </c>
      <c r="C43" s="63" t="s">
        <v>305</v>
      </c>
      <c r="D43" s="16" t="s">
        <v>76</v>
      </c>
      <c r="E43" s="58">
        <v>0</v>
      </c>
      <c r="F43" s="81" t="s">
        <v>199</v>
      </c>
      <c r="G43" s="58" t="s">
        <v>195</v>
      </c>
      <c r="H43" s="78" t="s">
        <v>306</v>
      </c>
      <c r="I43" s="78">
        <v>4</v>
      </c>
      <c r="J43" s="78">
        <v>0</v>
      </c>
      <c r="K43" s="78">
        <v>1</v>
      </c>
      <c r="L43" s="78">
        <v>0</v>
      </c>
      <c r="M43" s="78">
        <v>65535</v>
      </c>
      <c r="N43" s="78">
        <v>0</v>
      </c>
      <c r="O43" s="78" t="s">
        <v>80</v>
      </c>
      <c r="P43" s="58" t="s">
        <v>81</v>
      </c>
      <c r="Q43" s="58"/>
      <c r="R43" s="58"/>
      <c r="S43" s="84" t="s">
        <v>135</v>
      </c>
      <c r="T43" s="30" t="s">
        <v>196</v>
      </c>
      <c r="U43" s="35"/>
    </row>
    <row r="44" spans="1:21" ht="48">
      <c r="A44" s="23">
        <f t="shared" si="1"/>
        <v>39</v>
      </c>
      <c r="B44" s="78" t="s">
        <v>307</v>
      </c>
      <c r="C44" s="63" t="s">
        <v>308</v>
      </c>
      <c r="D44" s="16" t="s">
        <v>76</v>
      </c>
      <c r="E44" s="58">
        <v>0</v>
      </c>
      <c r="F44" s="81" t="s">
        <v>199</v>
      </c>
      <c r="G44" s="58" t="s">
        <v>195</v>
      </c>
      <c r="H44" s="78" t="s">
        <v>306</v>
      </c>
      <c r="I44" s="78">
        <v>4</v>
      </c>
      <c r="J44" s="78">
        <v>0</v>
      </c>
      <c r="K44" s="78">
        <v>1</v>
      </c>
      <c r="L44" s="78">
        <v>0</v>
      </c>
      <c r="M44" s="78">
        <v>65535</v>
      </c>
      <c r="N44" s="78">
        <v>0</v>
      </c>
      <c r="O44" s="78" t="s">
        <v>80</v>
      </c>
      <c r="P44" s="58" t="s">
        <v>81</v>
      </c>
      <c r="Q44" s="58"/>
      <c r="R44" s="58"/>
      <c r="S44" s="84" t="s">
        <v>135</v>
      </c>
      <c r="T44" s="30" t="s">
        <v>196</v>
      </c>
      <c r="U44" s="35"/>
    </row>
    <row r="45" spans="1:21" ht="48">
      <c r="A45" s="23">
        <f t="shared" si="1"/>
        <v>40</v>
      </c>
      <c r="B45" s="23" t="s">
        <v>309</v>
      </c>
      <c r="C45" s="35" t="s">
        <v>310</v>
      </c>
      <c r="D45" s="16" t="s">
        <v>76</v>
      </c>
      <c r="E45" s="16">
        <v>0</v>
      </c>
      <c r="F45" s="21" t="s">
        <v>199</v>
      </c>
      <c r="G45" s="16" t="s">
        <v>195</v>
      </c>
      <c r="H45" s="23" t="s">
        <v>210</v>
      </c>
      <c r="I45" s="23">
        <v>2</v>
      </c>
      <c r="J45" s="23">
        <v>0</v>
      </c>
      <c r="K45" s="23">
        <v>0.01</v>
      </c>
      <c r="L45" s="23">
        <v>0</v>
      </c>
      <c r="M45" s="23">
        <v>100</v>
      </c>
      <c r="N45" s="23">
        <v>0</v>
      </c>
      <c r="O45" s="23" t="s">
        <v>311</v>
      </c>
      <c r="P45" s="23" t="s">
        <v>119</v>
      </c>
      <c r="Q45" s="23"/>
      <c r="R45" s="23"/>
      <c r="S45" s="83" t="s">
        <v>83</v>
      </c>
      <c r="T45" s="30" t="s">
        <v>84</v>
      </c>
      <c r="U45" s="35"/>
    </row>
    <row r="46" spans="1:21" ht="48">
      <c r="A46" s="23">
        <f t="shared" si="1"/>
        <v>41</v>
      </c>
      <c r="B46" s="23" t="s">
        <v>312</v>
      </c>
      <c r="C46" s="35" t="s">
        <v>313</v>
      </c>
      <c r="D46" s="16" t="s">
        <v>76</v>
      </c>
      <c r="E46" s="16">
        <v>0</v>
      </c>
      <c r="F46" s="21" t="s">
        <v>199</v>
      </c>
      <c r="G46" s="16" t="s">
        <v>195</v>
      </c>
      <c r="H46" s="23" t="s">
        <v>210</v>
      </c>
      <c r="I46" s="23">
        <v>2</v>
      </c>
      <c r="J46" s="23">
        <v>0</v>
      </c>
      <c r="K46" s="23">
        <v>0.01</v>
      </c>
      <c r="L46" s="23">
        <v>0</v>
      </c>
      <c r="M46" s="23">
        <v>50</v>
      </c>
      <c r="N46" s="23">
        <v>0</v>
      </c>
      <c r="O46" s="23" t="s">
        <v>303</v>
      </c>
      <c r="P46" s="23" t="s">
        <v>119</v>
      </c>
      <c r="Q46" s="23"/>
      <c r="R46" s="23"/>
      <c r="S46" s="83" t="s">
        <v>83</v>
      </c>
      <c r="T46" s="30" t="s">
        <v>84</v>
      </c>
      <c r="U46" s="35"/>
    </row>
    <row r="47" spans="1:21" ht="48">
      <c r="A47" s="23">
        <f t="shared" si="1"/>
        <v>42</v>
      </c>
      <c r="B47" s="23" t="s">
        <v>314</v>
      </c>
      <c r="C47" s="35" t="s">
        <v>315</v>
      </c>
      <c r="D47" s="16" t="s">
        <v>76</v>
      </c>
      <c r="E47" s="16">
        <v>0</v>
      </c>
      <c r="F47" s="21" t="s">
        <v>199</v>
      </c>
      <c r="G47" s="16" t="s">
        <v>195</v>
      </c>
      <c r="H47" s="23" t="s">
        <v>210</v>
      </c>
      <c r="I47" s="23">
        <v>2</v>
      </c>
      <c r="J47" s="23">
        <v>0</v>
      </c>
      <c r="K47" s="23">
        <v>0.1</v>
      </c>
      <c r="L47" s="23">
        <v>0</v>
      </c>
      <c r="M47" s="23">
        <v>100</v>
      </c>
      <c r="N47" s="23">
        <v>0</v>
      </c>
      <c r="O47" s="23" t="s">
        <v>316</v>
      </c>
      <c r="P47" s="23" t="s">
        <v>119</v>
      </c>
      <c r="Q47" s="23"/>
      <c r="R47" s="23"/>
      <c r="S47" s="83" t="s">
        <v>83</v>
      </c>
      <c r="T47" s="30" t="s">
        <v>84</v>
      </c>
      <c r="U47" s="35"/>
    </row>
    <row r="48" spans="1:21" ht="48">
      <c r="A48" s="23">
        <f t="shared" si="1"/>
        <v>43</v>
      </c>
      <c r="B48" s="23" t="s">
        <v>317</v>
      </c>
      <c r="C48" s="35" t="s">
        <v>318</v>
      </c>
      <c r="D48" s="16" t="s">
        <v>76</v>
      </c>
      <c r="E48" s="16">
        <v>0</v>
      </c>
      <c r="F48" s="21" t="s">
        <v>199</v>
      </c>
      <c r="G48" s="16" t="s">
        <v>195</v>
      </c>
      <c r="H48" s="16" t="s">
        <v>79</v>
      </c>
      <c r="I48" s="23">
        <v>1</v>
      </c>
      <c r="J48" s="23">
        <v>0</v>
      </c>
      <c r="K48" s="23">
        <v>1</v>
      </c>
      <c r="L48" s="23">
        <v>0</v>
      </c>
      <c r="M48" s="23">
        <v>1</v>
      </c>
      <c r="N48" s="23">
        <v>0</v>
      </c>
      <c r="O48" s="23" t="s">
        <v>80</v>
      </c>
      <c r="P48" s="23" t="s">
        <v>119</v>
      </c>
      <c r="Q48" s="23"/>
      <c r="R48" s="23"/>
      <c r="S48" s="83" t="s">
        <v>83</v>
      </c>
      <c r="T48" s="30" t="s">
        <v>84</v>
      </c>
      <c r="U48" s="35"/>
    </row>
    <row r="49" spans="1:21" ht="48">
      <c r="A49" s="23">
        <f t="shared" si="1"/>
        <v>44</v>
      </c>
      <c r="B49" s="23" t="s">
        <v>319</v>
      </c>
      <c r="C49" s="35" t="s">
        <v>320</v>
      </c>
      <c r="D49" s="16" t="s">
        <v>76</v>
      </c>
      <c r="E49" s="16">
        <v>0</v>
      </c>
      <c r="F49" s="21" t="s">
        <v>199</v>
      </c>
      <c r="G49" s="16" t="s">
        <v>195</v>
      </c>
      <c r="H49" s="23" t="s">
        <v>210</v>
      </c>
      <c r="I49" s="23">
        <v>2</v>
      </c>
      <c r="J49" s="23">
        <v>0</v>
      </c>
      <c r="K49" s="23">
        <v>1</v>
      </c>
      <c r="L49" s="23">
        <v>0</v>
      </c>
      <c r="M49" s="23">
        <v>10000</v>
      </c>
      <c r="N49" s="23">
        <v>0</v>
      </c>
      <c r="O49" s="23" t="s">
        <v>321</v>
      </c>
      <c r="P49" s="23" t="s">
        <v>119</v>
      </c>
      <c r="Q49" s="23"/>
      <c r="R49" s="23"/>
      <c r="S49" s="83" t="s">
        <v>83</v>
      </c>
      <c r="T49" s="30" t="s">
        <v>84</v>
      </c>
      <c r="U49" s="35"/>
    </row>
    <row r="50" spans="1:21" ht="48">
      <c r="A50" s="23">
        <f t="shared" si="1"/>
        <v>45</v>
      </c>
      <c r="B50" s="23" t="s">
        <v>322</v>
      </c>
      <c r="C50" s="35" t="s">
        <v>323</v>
      </c>
      <c r="D50" s="16" t="s">
        <v>76</v>
      </c>
      <c r="E50" s="16">
        <v>0</v>
      </c>
      <c r="F50" s="21" t="s">
        <v>199</v>
      </c>
      <c r="G50" s="16" t="s">
        <v>195</v>
      </c>
      <c r="H50" s="23" t="s">
        <v>210</v>
      </c>
      <c r="I50" s="23">
        <v>2</v>
      </c>
      <c r="J50" s="23">
        <v>0</v>
      </c>
      <c r="K50" s="23">
        <v>1</v>
      </c>
      <c r="L50" s="23">
        <v>0</v>
      </c>
      <c r="M50" s="23">
        <v>10000</v>
      </c>
      <c r="N50" s="23">
        <v>0</v>
      </c>
      <c r="O50" s="23" t="s">
        <v>321</v>
      </c>
      <c r="P50" s="23" t="s">
        <v>119</v>
      </c>
      <c r="Q50" s="23"/>
      <c r="R50" s="23"/>
      <c r="S50" s="83" t="s">
        <v>83</v>
      </c>
      <c r="T50" s="30" t="s">
        <v>84</v>
      </c>
      <c r="U50" s="35"/>
    </row>
    <row r="51" spans="1:21" s="71" customFormat="1" ht="36" customHeight="1">
      <c r="A51" s="89" t="s">
        <v>324</v>
      </c>
      <c r="B51" s="77"/>
      <c r="C51" s="77"/>
      <c r="D51" s="77"/>
      <c r="E51" s="77"/>
      <c r="F51" s="77"/>
      <c r="G51" s="77"/>
      <c r="H51" s="77"/>
      <c r="I51" s="77"/>
      <c r="J51" s="77"/>
      <c r="K51" s="82"/>
      <c r="L51" s="77"/>
      <c r="M51" s="82"/>
      <c r="N51" s="82"/>
      <c r="O51" s="82"/>
      <c r="P51" s="77"/>
      <c r="Q51" s="77"/>
      <c r="R51" s="77"/>
      <c r="S51" s="77"/>
      <c r="T51" s="32"/>
      <c r="U51" s="88"/>
    </row>
    <row r="52" spans="1:21" ht="51">
      <c r="A52" s="40">
        <f>A50+1</f>
        <v>46</v>
      </c>
      <c r="B52" s="40" t="s">
        <v>325</v>
      </c>
      <c r="C52" s="80" t="s">
        <v>326</v>
      </c>
      <c r="D52" s="36" t="s">
        <v>76</v>
      </c>
      <c r="E52" s="36">
        <v>0</v>
      </c>
      <c r="F52" s="39" t="s">
        <v>199</v>
      </c>
      <c r="G52" s="36" t="s">
        <v>195</v>
      </c>
      <c r="H52" s="36" t="s">
        <v>79</v>
      </c>
      <c r="I52" s="40">
        <v>1</v>
      </c>
      <c r="J52" s="40">
        <v>0</v>
      </c>
      <c r="K52" s="40">
        <v>1</v>
      </c>
      <c r="L52" s="40">
        <v>0</v>
      </c>
      <c r="M52" s="40">
        <v>1</v>
      </c>
      <c r="N52" s="40">
        <v>0</v>
      </c>
      <c r="O52" s="40" t="s">
        <v>80</v>
      </c>
      <c r="P52" s="36" t="s">
        <v>81</v>
      </c>
      <c r="Q52" s="36"/>
      <c r="R52" s="36"/>
      <c r="S52" s="86" t="s">
        <v>135</v>
      </c>
      <c r="T52" s="43" t="s">
        <v>196</v>
      </c>
      <c r="U52" s="80" t="s">
        <v>327</v>
      </c>
    </row>
    <row r="53" spans="1:21" s="10" customFormat="1" ht="51">
      <c r="A53" s="40">
        <f t="shared" ref="A53:A63" si="2">A52+1</f>
        <v>47</v>
      </c>
      <c r="B53" s="40" t="s">
        <v>328</v>
      </c>
      <c r="C53" s="80" t="s">
        <v>329</v>
      </c>
      <c r="D53" s="36" t="s">
        <v>76</v>
      </c>
      <c r="E53" s="36">
        <v>0</v>
      </c>
      <c r="F53" s="39" t="s">
        <v>199</v>
      </c>
      <c r="G53" s="36" t="s">
        <v>195</v>
      </c>
      <c r="H53" s="36" t="s">
        <v>79</v>
      </c>
      <c r="I53" s="40">
        <v>1</v>
      </c>
      <c r="J53" s="40">
        <v>0</v>
      </c>
      <c r="K53" s="40">
        <v>1</v>
      </c>
      <c r="L53" s="40">
        <v>0</v>
      </c>
      <c r="M53" s="40">
        <v>3</v>
      </c>
      <c r="N53" s="40">
        <v>0</v>
      </c>
      <c r="O53" s="40" t="s">
        <v>80</v>
      </c>
      <c r="P53" s="36" t="s">
        <v>81</v>
      </c>
      <c r="Q53" s="36"/>
      <c r="R53" s="36"/>
      <c r="S53" s="86" t="s">
        <v>135</v>
      </c>
      <c r="T53" s="43" t="s">
        <v>196</v>
      </c>
      <c r="U53" s="80" t="s">
        <v>330</v>
      </c>
    </row>
    <row r="54" spans="1:21" s="10" customFormat="1" ht="51">
      <c r="A54" s="40">
        <f t="shared" si="2"/>
        <v>48</v>
      </c>
      <c r="B54" s="40" t="s">
        <v>331</v>
      </c>
      <c r="C54" s="80" t="s">
        <v>332</v>
      </c>
      <c r="D54" s="36" t="s">
        <v>76</v>
      </c>
      <c r="E54" s="36">
        <v>0</v>
      </c>
      <c r="F54" s="39" t="s">
        <v>199</v>
      </c>
      <c r="G54" s="36" t="s">
        <v>195</v>
      </c>
      <c r="H54" s="40" t="s">
        <v>210</v>
      </c>
      <c r="I54" s="40">
        <v>2</v>
      </c>
      <c r="J54" s="40">
        <v>0</v>
      </c>
      <c r="K54" s="40">
        <v>0.1</v>
      </c>
      <c r="L54" s="40">
        <v>0</v>
      </c>
      <c r="M54" s="40">
        <v>99.9</v>
      </c>
      <c r="N54" s="40">
        <v>25</v>
      </c>
      <c r="O54" s="40" t="s">
        <v>267</v>
      </c>
      <c r="P54" s="36" t="s">
        <v>81</v>
      </c>
      <c r="Q54" s="36"/>
      <c r="R54" s="36"/>
      <c r="S54" s="86" t="s">
        <v>135</v>
      </c>
      <c r="T54" s="43" t="s">
        <v>202</v>
      </c>
      <c r="U54" s="80" t="s">
        <v>333</v>
      </c>
    </row>
    <row r="55" spans="1:21" ht="48">
      <c r="A55" s="23">
        <f t="shared" si="2"/>
        <v>49</v>
      </c>
      <c r="B55" s="23" t="s">
        <v>334</v>
      </c>
      <c r="C55" s="35" t="s">
        <v>335</v>
      </c>
      <c r="D55" s="16" t="s">
        <v>76</v>
      </c>
      <c r="E55" s="16">
        <v>0</v>
      </c>
      <c r="F55" s="21" t="s">
        <v>199</v>
      </c>
      <c r="G55" s="16" t="s">
        <v>195</v>
      </c>
      <c r="H55" s="23" t="s">
        <v>210</v>
      </c>
      <c r="I55" s="23">
        <v>2</v>
      </c>
      <c r="J55" s="23">
        <v>0</v>
      </c>
      <c r="K55" s="23">
        <v>1</v>
      </c>
      <c r="L55" s="23">
        <v>0</v>
      </c>
      <c r="M55" s="23">
        <v>5000</v>
      </c>
      <c r="N55" s="23">
        <v>800</v>
      </c>
      <c r="O55" s="23" t="s">
        <v>321</v>
      </c>
      <c r="P55" s="16" t="s">
        <v>81</v>
      </c>
      <c r="Q55" s="16"/>
      <c r="R55" s="16"/>
      <c r="S55" s="83" t="s">
        <v>135</v>
      </c>
      <c r="T55" s="30" t="s">
        <v>196</v>
      </c>
      <c r="U55" s="35"/>
    </row>
    <row r="56" spans="1:21" ht="48">
      <c r="A56" s="23">
        <f t="shared" si="2"/>
        <v>50</v>
      </c>
      <c r="B56" s="23" t="s">
        <v>336</v>
      </c>
      <c r="C56" s="35" t="s">
        <v>337</v>
      </c>
      <c r="D56" s="16" t="s">
        <v>76</v>
      </c>
      <c r="E56" s="16">
        <v>0</v>
      </c>
      <c r="F56" s="21" t="s">
        <v>199</v>
      </c>
      <c r="G56" s="16" t="s">
        <v>195</v>
      </c>
      <c r="H56" s="23" t="s">
        <v>210</v>
      </c>
      <c r="I56" s="23">
        <v>2</v>
      </c>
      <c r="J56" s="23">
        <v>0</v>
      </c>
      <c r="K56" s="23">
        <v>1</v>
      </c>
      <c r="L56" s="23">
        <v>0</v>
      </c>
      <c r="M56" s="23">
        <v>5000</v>
      </c>
      <c r="N56" s="23">
        <v>3800</v>
      </c>
      <c r="O56" s="23" t="s">
        <v>321</v>
      </c>
      <c r="P56" s="16" t="s">
        <v>81</v>
      </c>
      <c r="Q56" s="16"/>
      <c r="R56" s="16"/>
      <c r="S56" s="83" t="s">
        <v>135</v>
      </c>
      <c r="T56" s="30" t="s">
        <v>196</v>
      </c>
      <c r="U56" s="35"/>
    </row>
    <row r="57" spans="1:21" ht="48">
      <c r="A57" s="23">
        <f t="shared" si="2"/>
        <v>51</v>
      </c>
      <c r="B57" s="23" t="s">
        <v>338</v>
      </c>
      <c r="C57" s="35" t="s">
        <v>339</v>
      </c>
      <c r="D57" s="16" t="s">
        <v>76</v>
      </c>
      <c r="E57" s="16">
        <v>0</v>
      </c>
      <c r="F57" s="21" t="s">
        <v>199</v>
      </c>
      <c r="G57" s="16" t="s">
        <v>195</v>
      </c>
      <c r="H57" s="23" t="s">
        <v>210</v>
      </c>
      <c r="I57" s="23">
        <v>2</v>
      </c>
      <c r="J57" s="23">
        <v>0</v>
      </c>
      <c r="K57" s="23">
        <v>1</v>
      </c>
      <c r="L57" s="23">
        <v>0</v>
      </c>
      <c r="M57" s="23">
        <v>5000</v>
      </c>
      <c r="N57" s="23">
        <v>1250</v>
      </c>
      <c r="O57" s="23" t="s">
        <v>321</v>
      </c>
      <c r="P57" s="16" t="s">
        <v>81</v>
      </c>
      <c r="Q57" s="16"/>
      <c r="R57" s="16"/>
      <c r="S57" s="83" t="s">
        <v>135</v>
      </c>
      <c r="T57" s="30" t="s">
        <v>196</v>
      </c>
      <c r="U57" s="35"/>
    </row>
    <row r="58" spans="1:21" ht="48">
      <c r="A58" s="23">
        <f t="shared" si="2"/>
        <v>52</v>
      </c>
      <c r="B58" s="23" t="s">
        <v>340</v>
      </c>
      <c r="C58" s="35" t="s">
        <v>341</v>
      </c>
      <c r="D58" s="16" t="s">
        <v>76</v>
      </c>
      <c r="E58" s="16">
        <v>0</v>
      </c>
      <c r="F58" s="21" t="s">
        <v>199</v>
      </c>
      <c r="G58" s="16" t="s">
        <v>195</v>
      </c>
      <c r="H58" s="23" t="s">
        <v>210</v>
      </c>
      <c r="I58" s="23">
        <v>2</v>
      </c>
      <c r="J58" s="23">
        <v>0</v>
      </c>
      <c r="K58" s="23">
        <v>1</v>
      </c>
      <c r="L58" s="23">
        <v>0</v>
      </c>
      <c r="M58" s="23">
        <v>5000</v>
      </c>
      <c r="N58" s="23">
        <v>1150</v>
      </c>
      <c r="O58" s="23" t="s">
        <v>321</v>
      </c>
      <c r="P58" s="16" t="s">
        <v>81</v>
      </c>
      <c r="Q58" s="16"/>
      <c r="R58" s="16"/>
      <c r="S58" s="83" t="s">
        <v>135</v>
      </c>
      <c r="T58" s="30" t="s">
        <v>196</v>
      </c>
      <c r="U58" s="35"/>
    </row>
    <row r="59" spans="1:21" ht="48">
      <c r="A59" s="23">
        <f t="shared" si="2"/>
        <v>53</v>
      </c>
      <c r="B59" s="23" t="s">
        <v>342</v>
      </c>
      <c r="C59" s="35" t="s">
        <v>343</v>
      </c>
      <c r="D59" s="16" t="s">
        <v>76</v>
      </c>
      <c r="E59" s="16">
        <v>0</v>
      </c>
      <c r="F59" s="21" t="s">
        <v>199</v>
      </c>
      <c r="G59" s="16" t="s">
        <v>195</v>
      </c>
      <c r="H59" s="23" t="s">
        <v>210</v>
      </c>
      <c r="I59" s="23">
        <v>2</v>
      </c>
      <c r="J59" s="23">
        <v>0</v>
      </c>
      <c r="K59" s="23">
        <v>1</v>
      </c>
      <c r="L59" s="23">
        <v>0</v>
      </c>
      <c r="M59" s="23">
        <v>60000</v>
      </c>
      <c r="N59" s="23">
        <v>60000</v>
      </c>
      <c r="O59" s="23" t="s">
        <v>248</v>
      </c>
      <c r="P59" s="16" t="s">
        <v>81</v>
      </c>
      <c r="Q59" s="16"/>
      <c r="R59" s="16"/>
      <c r="S59" s="83" t="s">
        <v>135</v>
      </c>
      <c r="T59" s="30" t="s">
        <v>196</v>
      </c>
      <c r="U59" s="35" t="s">
        <v>344</v>
      </c>
    </row>
    <row r="60" spans="1:21" ht="48">
      <c r="A60" s="23">
        <f t="shared" si="2"/>
        <v>54</v>
      </c>
      <c r="B60" s="23" t="s">
        <v>345</v>
      </c>
      <c r="C60" s="35" t="s">
        <v>346</v>
      </c>
      <c r="D60" s="16" t="s">
        <v>76</v>
      </c>
      <c r="E60" s="16">
        <v>0</v>
      </c>
      <c r="F60" s="21" t="s">
        <v>199</v>
      </c>
      <c r="G60" s="16" t="s">
        <v>195</v>
      </c>
      <c r="H60" s="16" t="s">
        <v>79</v>
      </c>
      <c r="I60" s="23">
        <v>1</v>
      </c>
      <c r="J60" s="23">
        <v>0</v>
      </c>
      <c r="K60" s="23">
        <v>1</v>
      </c>
      <c r="L60" s="23">
        <v>0</v>
      </c>
      <c r="M60" s="23">
        <v>2</v>
      </c>
      <c r="N60" s="23">
        <v>0</v>
      </c>
      <c r="O60" s="23" t="s">
        <v>80</v>
      </c>
      <c r="P60" s="23" t="s">
        <v>119</v>
      </c>
      <c r="Q60" s="23"/>
      <c r="R60" s="23"/>
      <c r="S60" s="83" t="s">
        <v>83</v>
      </c>
      <c r="T60" s="30" t="s">
        <v>84</v>
      </c>
      <c r="U60" s="35"/>
    </row>
    <row r="61" spans="1:21" ht="48">
      <c r="A61" s="23">
        <f t="shared" si="2"/>
        <v>55</v>
      </c>
      <c r="B61" s="23" t="s">
        <v>347</v>
      </c>
      <c r="C61" s="35" t="s">
        <v>348</v>
      </c>
      <c r="D61" s="16" t="s">
        <v>76</v>
      </c>
      <c r="E61" s="16">
        <v>0</v>
      </c>
      <c r="F61" s="21" t="s">
        <v>199</v>
      </c>
      <c r="G61" s="16" t="s">
        <v>195</v>
      </c>
      <c r="H61" s="23" t="s">
        <v>210</v>
      </c>
      <c r="I61" s="23">
        <v>2</v>
      </c>
      <c r="J61" s="23">
        <v>0</v>
      </c>
      <c r="K61" s="23">
        <v>1</v>
      </c>
      <c r="L61" s="23">
        <v>0</v>
      </c>
      <c r="M61" s="23">
        <v>5000</v>
      </c>
      <c r="N61" s="23">
        <v>0</v>
      </c>
      <c r="O61" s="23" t="s">
        <v>321</v>
      </c>
      <c r="P61" s="23" t="s">
        <v>119</v>
      </c>
      <c r="Q61" s="23"/>
      <c r="R61" s="23"/>
      <c r="S61" s="83" t="s">
        <v>83</v>
      </c>
      <c r="T61" s="30" t="s">
        <v>84</v>
      </c>
      <c r="U61" s="35" t="s">
        <v>349</v>
      </c>
    </row>
    <row r="62" spans="1:21" ht="48">
      <c r="A62" s="23">
        <f t="shared" si="2"/>
        <v>56</v>
      </c>
      <c r="B62" s="23" t="s">
        <v>350</v>
      </c>
      <c r="C62" s="35" t="s">
        <v>351</v>
      </c>
      <c r="D62" s="16" t="s">
        <v>76</v>
      </c>
      <c r="E62" s="16">
        <v>0</v>
      </c>
      <c r="F62" s="21" t="s">
        <v>199</v>
      </c>
      <c r="G62" s="16" t="s">
        <v>195</v>
      </c>
      <c r="H62" s="16" t="s">
        <v>79</v>
      </c>
      <c r="I62" s="23">
        <v>1</v>
      </c>
      <c r="J62" s="23">
        <v>0</v>
      </c>
      <c r="K62" s="23">
        <v>1</v>
      </c>
      <c r="L62" s="23">
        <v>0</v>
      </c>
      <c r="M62" s="23">
        <v>100</v>
      </c>
      <c r="N62" s="23">
        <v>0</v>
      </c>
      <c r="O62" s="23" t="s">
        <v>316</v>
      </c>
      <c r="P62" s="23" t="s">
        <v>119</v>
      </c>
      <c r="Q62" s="23"/>
      <c r="R62" s="23"/>
      <c r="S62" s="83" t="s">
        <v>83</v>
      </c>
      <c r="T62" s="30" t="s">
        <v>84</v>
      </c>
      <c r="U62" s="35"/>
    </row>
    <row r="63" spans="1:21" s="71" customFormat="1" ht="48">
      <c r="A63" s="23">
        <f t="shared" si="2"/>
        <v>57</v>
      </c>
      <c r="B63" s="23" t="s">
        <v>352</v>
      </c>
      <c r="C63" s="35" t="s">
        <v>353</v>
      </c>
      <c r="D63" s="16" t="s">
        <v>76</v>
      </c>
      <c r="E63" s="16">
        <v>0</v>
      </c>
      <c r="F63" s="21" t="s">
        <v>199</v>
      </c>
      <c r="G63" s="16" t="s">
        <v>195</v>
      </c>
      <c r="H63" s="16" t="s">
        <v>79</v>
      </c>
      <c r="I63" s="23">
        <v>1</v>
      </c>
      <c r="J63" s="23">
        <v>0</v>
      </c>
      <c r="K63" s="23">
        <v>1</v>
      </c>
      <c r="L63" s="23">
        <v>0</v>
      </c>
      <c r="M63" s="23">
        <v>100</v>
      </c>
      <c r="N63" s="23">
        <v>0</v>
      </c>
      <c r="O63" s="23" t="s">
        <v>80</v>
      </c>
      <c r="P63" s="23" t="s">
        <v>119</v>
      </c>
      <c r="Q63" s="23"/>
      <c r="R63" s="23"/>
      <c r="S63" s="83" t="s">
        <v>83</v>
      </c>
      <c r="T63" s="30" t="s">
        <v>84</v>
      </c>
      <c r="U63" s="35"/>
    </row>
    <row r="67" spans="1:21" s="71" customFormat="1" ht="36" customHeight="1">
      <c r="A67" s="89" t="s">
        <v>354</v>
      </c>
      <c r="B67" s="77"/>
      <c r="C67" s="77"/>
      <c r="D67" s="77"/>
      <c r="E67" s="77"/>
      <c r="F67" s="77"/>
      <c r="G67" s="77"/>
      <c r="H67" s="77"/>
      <c r="I67" s="77"/>
      <c r="J67" s="77"/>
      <c r="K67" s="82"/>
      <c r="L67" s="77"/>
      <c r="M67" s="82"/>
      <c r="N67" s="82"/>
      <c r="O67" s="82"/>
      <c r="P67" s="77"/>
      <c r="Q67" s="77"/>
      <c r="R67" s="77"/>
      <c r="S67" s="77"/>
      <c r="T67" s="31"/>
      <c r="U67" s="88"/>
    </row>
    <row r="68" spans="1:21" ht="48">
      <c r="A68" s="23">
        <f>A63+1</f>
        <v>58</v>
      </c>
      <c r="B68" s="23" t="s">
        <v>355</v>
      </c>
      <c r="C68" s="35" t="s">
        <v>356</v>
      </c>
      <c r="D68" s="16" t="s">
        <v>76</v>
      </c>
      <c r="E68" s="16">
        <v>0</v>
      </c>
      <c r="F68" s="21" t="s">
        <v>199</v>
      </c>
      <c r="G68" s="16" t="s">
        <v>195</v>
      </c>
      <c r="H68" s="23" t="s">
        <v>210</v>
      </c>
      <c r="I68" s="23">
        <v>2</v>
      </c>
      <c r="J68" s="23">
        <v>0</v>
      </c>
      <c r="K68" s="23">
        <v>1</v>
      </c>
      <c r="L68" s="23">
        <v>0</v>
      </c>
      <c r="M68" s="23">
        <v>5000</v>
      </c>
      <c r="N68" s="23">
        <v>700</v>
      </c>
      <c r="O68" s="23" t="s">
        <v>321</v>
      </c>
      <c r="P68" s="16" t="s">
        <v>81</v>
      </c>
      <c r="Q68" s="16"/>
      <c r="R68" s="16"/>
      <c r="S68" s="83" t="s">
        <v>135</v>
      </c>
      <c r="T68" s="30" t="s">
        <v>196</v>
      </c>
      <c r="U68" s="35"/>
    </row>
    <row r="69" spans="1:21" ht="48">
      <c r="A69" s="23">
        <f t="shared" ref="A69:A98" si="3">A68+1</f>
        <v>59</v>
      </c>
      <c r="B69" s="23" t="s">
        <v>357</v>
      </c>
      <c r="C69" s="35" t="s">
        <v>358</v>
      </c>
      <c r="D69" s="16" t="s">
        <v>76</v>
      </c>
      <c r="E69" s="16">
        <v>0</v>
      </c>
      <c r="F69" s="21" t="s">
        <v>199</v>
      </c>
      <c r="G69" s="16" t="s">
        <v>195</v>
      </c>
      <c r="H69" s="23" t="s">
        <v>210</v>
      </c>
      <c r="I69" s="23">
        <v>2</v>
      </c>
      <c r="J69" s="23">
        <v>0</v>
      </c>
      <c r="K69" s="23">
        <v>1</v>
      </c>
      <c r="L69" s="23">
        <v>0</v>
      </c>
      <c r="M69" s="23">
        <v>5000</v>
      </c>
      <c r="N69" s="23">
        <v>3300</v>
      </c>
      <c r="O69" s="23" t="s">
        <v>321</v>
      </c>
      <c r="P69" s="16" t="s">
        <v>81</v>
      </c>
      <c r="Q69" s="16"/>
      <c r="R69" s="16"/>
      <c r="S69" s="83" t="s">
        <v>135</v>
      </c>
      <c r="T69" s="30" t="s">
        <v>196</v>
      </c>
      <c r="U69" s="35"/>
    </row>
    <row r="70" spans="1:21" ht="48">
      <c r="A70" s="23">
        <f t="shared" si="3"/>
        <v>60</v>
      </c>
      <c r="B70" s="23" t="s">
        <v>359</v>
      </c>
      <c r="C70" s="63" t="s">
        <v>360</v>
      </c>
      <c r="D70" s="16" t="s">
        <v>76</v>
      </c>
      <c r="E70" s="16">
        <v>0</v>
      </c>
      <c r="F70" s="21" t="s">
        <v>199</v>
      </c>
      <c r="G70" s="16" t="s">
        <v>195</v>
      </c>
      <c r="H70" s="23" t="s">
        <v>210</v>
      </c>
      <c r="I70" s="23">
        <v>2</v>
      </c>
      <c r="J70" s="23">
        <v>0</v>
      </c>
      <c r="K70" s="23">
        <v>1</v>
      </c>
      <c r="L70" s="23">
        <v>0</v>
      </c>
      <c r="M70" s="23">
        <v>100</v>
      </c>
      <c r="N70" s="23">
        <v>33</v>
      </c>
      <c r="O70" s="23" t="s">
        <v>361</v>
      </c>
      <c r="P70" s="16" t="s">
        <v>81</v>
      </c>
      <c r="Q70" s="16"/>
      <c r="R70" s="16"/>
      <c r="S70" s="83" t="s">
        <v>135</v>
      </c>
      <c r="T70" s="30" t="s">
        <v>196</v>
      </c>
      <c r="U70" s="35" t="s">
        <v>362</v>
      </c>
    </row>
    <row r="71" spans="1:21" ht="48">
      <c r="A71" s="23">
        <f t="shared" si="3"/>
        <v>61</v>
      </c>
      <c r="B71" s="23" t="s">
        <v>363</v>
      </c>
      <c r="C71" s="35" t="s">
        <v>364</v>
      </c>
      <c r="D71" s="16" t="s">
        <v>76</v>
      </c>
      <c r="E71" s="16">
        <v>0</v>
      </c>
      <c r="F71" s="21" t="s">
        <v>199</v>
      </c>
      <c r="G71" s="16" t="s">
        <v>195</v>
      </c>
      <c r="H71" s="16" t="s">
        <v>79</v>
      </c>
      <c r="I71" s="23">
        <v>1</v>
      </c>
      <c r="J71" s="23">
        <v>0</v>
      </c>
      <c r="K71" s="23">
        <v>1</v>
      </c>
      <c r="L71" s="23">
        <v>0</v>
      </c>
      <c r="M71" s="23" t="s">
        <v>365</v>
      </c>
      <c r="N71" s="23">
        <v>0</v>
      </c>
      <c r="O71" s="23" t="s">
        <v>80</v>
      </c>
      <c r="P71" s="23" t="s">
        <v>119</v>
      </c>
      <c r="Q71" s="23"/>
      <c r="R71" s="23"/>
      <c r="S71" s="83" t="s">
        <v>83</v>
      </c>
      <c r="T71" s="30" t="s">
        <v>84</v>
      </c>
      <c r="U71" s="35"/>
    </row>
    <row r="72" spans="1:21" ht="48">
      <c r="A72" s="23">
        <f t="shared" si="3"/>
        <v>62</v>
      </c>
      <c r="B72" s="23" t="s">
        <v>366</v>
      </c>
      <c r="C72" s="35" t="s">
        <v>367</v>
      </c>
      <c r="D72" s="16" t="s">
        <v>76</v>
      </c>
      <c r="E72" s="16">
        <v>0</v>
      </c>
      <c r="F72" s="21" t="s">
        <v>199</v>
      </c>
      <c r="G72" s="16" t="s">
        <v>195</v>
      </c>
      <c r="H72" s="23" t="s">
        <v>210</v>
      </c>
      <c r="I72" s="23">
        <v>2</v>
      </c>
      <c r="J72" s="23">
        <v>0</v>
      </c>
      <c r="K72" s="23">
        <v>1</v>
      </c>
      <c r="L72" s="23">
        <v>0</v>
      </c>
      <c r="M72" s="23">
        <v>5000</v>
      </c>
      <c r="N72" s="23">
        <v>0</v>
      </c>
      <c r="O72" s="23" t="s">
        <v>321</v>
      </c>
      <c r="P72" s="23" t="s">
        <v>119</v>
      </c>
      <c r="Q72" s="23"/>
      <c r="R72" s="23"/>
      <c r="S72" s="83" t="s">
        <v>83</v>
      </c>
      <c r="T72" s="30" t="s">
        <v>84</v>
      </c>
      <c r="U72" s="35"/>
    </row>
    <row r="73" spans="1:21" ht="48">
      <c r="A73" s="23">
        <f t="shared" si="3"/>
        <v>63</v>
      </c>
      <c r="B73" s="23" t="s">
        <v>368</v>
      </c>
      <c r="C73" s="35" t="s">
        <v>369</v>
      </c>
      <c r="D73" s="16" t="s">
        <v>76</v>
      </c>
      <c r="E73" s="16">
        <v>0</v>
      </c>
      <c r="F73" s="21" t="s">
        <v>199</v>
      </c>
      <c r="G73" s="16" t="s">
        <v>195</v>
      </c>
      <c r="H73" s="23" t="s">
        <v>210</v>
      </c>
      <c r="I73" s="23">
        <v>2</v>
      </c>
      <c r="J73" s="23">
        <v>0</v>
      </c>
      <c r="K73" s="23">
        <v>1</v>
      </c>
      <c r="L73" s="23">
        <v>0</v>
      </c>
      <c r="M73" s="23">
        <v>5000</v>
      </c>
      <c r="N73" s="23">
        <v>800</v>
      </c>
      <c r="O73" s="23" t="s">
        <v>321</v>
      </c>
      <c r="P73" s="23" t="s">
        <v>119</v>
      </c>
      <c r="Q73" s="23"/>
      <c r="R73" s="23"/>
      <c r="S73" s="83" t="s">
        <v>83</v>
      </c>
      <c r="T73" s="30" t="s">
        <v>84</v>
      </c>
      <c r="U73" s="35"/>
    </row>
    <row r="74" spans="1:21" ht="48">
      <c r="A74" s="23">
        <f t="shared" si="3"/>
        <v>64</v>
      </c>
      <c r="B74" s="23" t="s">
        <v>370</v>
      </c>
      <c r="C74" s="35" t="s">
        <v>371</v>
      </c>
      <c r="D74" s="16" t="s">
        <v>76</v>
      </c>
      <c r="E74" s="16">
        <v>0</v>
      </c>
      <c r="F74" s="21" t="s">
        <v>199</v>
      </c>
      <c r="G74" s="16" t="s">
        <v>195</v>
      </c>
      <c r="H74" s="16" t="s">
        <v>79</v>
      </c>
      <c r="I74" s="23">
        <v>2</v>
      </c>
      <c r="J74" s="23">
        <v>0</v>
      </c>
      <c r="K74" s="23">
        <v>0.1</v>
      </c>
      <c r="L74" s="23">
        <v>0</v>
      </c>
      <c r="M74" s="23">
        <v>200</v>
      </c>
      <c r="N74" s="23">
        <v>0</v>
      </c>
      <c r="O74" s="23" t="s">
        <v>372</v>
      </c>
      <c r="P74" s="23" t="s">
        <v>119</v>
      </c>
      <c r="Q74" s="23"/>
      <c r="R74" s="23"/>
      <c r="S74" s="83" t="s">
        <v>83</v>
      </c>
      <c r="T74" s="30" t="s">
        <v>84</v>
      </c>
      <c r="U74" s="35"/>
    </row>
    <row r="75" spans="1:21" ht="48">
      <c r="A75" s="23">
        <f t="shared" si="3"/>
        <v>65</v>
      </c>
      <c r="B75" s="23" t="s">
        <v>373</v>
      </c>
      <c r="C75" s="35" t="s">
        <v>374</v>
      </c>
      <c r="D75" s="16" t="s">
        <v>76</v>
      </c>
      <c r="E75" s="16">
        <v>0</v>
      </c>
      <c r="F75" s="21" t="s">
        <v>199</v>
      </c>
      <c r="G75" s="16" t="s">
        <v>195</v>
      </c>
      <c r="H75" s="16" t="s">
        <v>79</v>
      </c>
      <c r="I75" s="23">
        <v>1</v>
      </c>
      <c r="J75" s="23">
        <v>0</v>
      </c>
      <c r="K75" s="23">
        <v>1</v>
      </c>
      <c r="L75" s="23">
        <v>0</v>
      </c>
      <c r="M75" s="23">
        <v>100</v>
      </c>
      <c r="N75" s="23">
        <v>36</v>
      </c>
      <c r="O75" s="23" t="s">
        <v>80</v>
      </c>
      <c r="P75" s="16" t="s">
        <v>81</v>
      </c>
      <c r="Q75" s="16"/>
      <c r="R75" s="16"/>
      <c r="S75" s="83" t="s">
        <v>135</v>
      </c>
      <c r="T75" s="30" t="s">
        <v>196</v>
      </c>
      <c r="U75" s="35"/>
    </row>
    <row r="76" spans="1:21" ht="48">
      <c r="A76" s="23">
        <f t="shared" si="3"/>
        <v>66</v>
      </c>
      <c r="B76" s="23" t="s">
        <v>375</v>
      </c>
      <c r="C76" s="35" t="s">
        <v>376</v>
      </c>
      <c r="D76" s="16" t="s">
        <v>76</v>
      </c>
      <c r="E76" s="16">
        <v>0</v>
      </c>
      <c r="F76" s="21" t="s">
        <v>199</v>
      </c>
      <c r="G76" s="16" t="s">
        <v>195</v>
      </c>
      <c r="H76" s="16" t="s">
        <v>79</v>
      </c>
      <c r="I76" s="23">
        <v>1</v>
      </c>
      <c r="J76" s="23">
        <v>0</v>
      </c>
      <c r="K76" s="23">
        <v>1</v>
      </c>
      <c r="L76" s="23">
        <v>0</v>
      </c>
      <c r="M76" s="23">
        <v>100</v>
      </c>
      <c r="N76" s="23">
        <v>50</v>
      </c>
      <c r="O76" s="23" t="s">
        <v>316</v>
      </c>
      <c r="P76" s="16" t="s">
        <v>81</v>
      </c>
      <c r="Q76" s="16"/>
      <c r="R76" s="16"/>
      <c r="S76" s="83" t="s">
        <v>135</v>
      </c>
      <c r="T76" s="30" t="s">
        <v>196</v>
      </c>
      <c r="U76" s="35"/>
    </row>
    <row r="77" spans="1:21" ht="48">
      <c r="A77" s="23">
        <f t="shared" si="3"/>
        <v>67</v>
      </c>
      <c r="B77" s="23" t="s">
        <v>377</v>
      </c>
      <c r="C77" s="35" t="s">
        <v>378</v>
      </c>
      <c r="D77" s="16" t="s">
        <v>76</v>
      </c>
      <c r="E77" s="16">
        <v>0</v>
      </c>
      <c r="F77" s="21" t="s">
        <v>199</v>
      </c>
      <c r="G77" s="16" t="s">
        <v>195</v>
      </c>
      <c r="H77" s="16" t="s">
        <v>79</v>
      </c>
      <c r="I77" s="23">
        <v>1</v>
      </c>
      <c r="J77" s="23">
        <v>0</v>
      </c>
      <c r="K77" s="23">
        <v>1</v>
      </c>
      <c r="L77" s="23">
        <v>0</v>
      </c>
      <c r="M77" s="23">
        <v>1</v>
      </c>
      <c r="N77" s="23">
        <v>0</v>
      </c>
      <c r="O77" s="23" t="s">
        <v>80</v>
      </c>
      <c r="P77" s="23" t="s">
        <v>119</v>
      </c>
      <c r="Q77" s="23"/>
      <c r="R77" s="23"/>
      <c r="S77" s="83" t="s">
        <v>83</v>
      </c>
      <c r="T77" s="30" t="s">
        <v>84</v>
      </c>
      <c r="U77" s="35" t="s">
        <v>379</v>
      </c>
    </row>
    <row r="78" spans="1:21" ht="48">
      <c r="A78" s="23">
        <f t="shared" si="3"/>
        <v>68</v>
      </c>
      <c r="B78" s="23" t="s">
        <v>380</v>
      </c>
      <c r="C78" s="35" t="s">
        <v>381</v>
      </c>
      <c r="D78" s="16" t="s">
        <v>76</v>
      </c>
      <c r="E78" s="16">
        <v>0</v>
      </c>
      <c r="F78" s="21" t="s">
        <v>199</v>
      </c>
      <c r="G78" s="16" t="s">
        <v>195</v>
      </c>
      <c r="H78" s="16" t="s">
        <v>79</v>
      </c>
      <c r="I78" s="23">
        <v>1</v>
      </c>
      <c r="J78" s="23">
        <v>0</v>
      </c>
      <c r="K78" s="23">
        <v>1</v>
      </c>
      <c r="L78" s="23">
        <v>0</v>
      </c>
      <c r="M78" s="23">
        <v>1</v>
      </c>
      <c r="N78" s="23">
        <v>1</v>
      </c>
      <c r="O78" s="23" t="s">
        <v>80</v>
      </c>
      <c r="P78" s="23" t="s">
        <v>119</v>
      </c>
      <c r="Q78" s="23"/>
      <c r="R78" s="23"/>
      <c r="S78" s="83" t="s">
        <v>83</v>
      </c>
      <c r="T78" s="30" t="s">
        <v>84</v>
      </c>
      <c r="U78" s="35" t="s">
        <v>382</v>
      </c>
    </row>
    <row r="79" spans="1:21" ht="48">
      <c r="A79" s="23">
        <f t="shared" si="3"/>
        <v>69</v>
      </c>
      <c r="B79" s="23" t="s">
        <v>383</v>
      </c>
      <c r="C79" s="35" t="s">
        <v>384</v>
      </c>
      <c r="D79" s="16" t="s">
        <v>76</v>
      </c>
      <c r="E79" s="16">
        <v>0</v>
      </c>
      <c r="F79" s="21" t="s">
        <v>199</v>
      </c>
      <c r="G79" s="16" t="s">
        <v>195</v>
      </c>
      <c r="H79" s="23" t="s">
        <v>210</v>
      </c>
      <c r="I79" s="23">
        <v>2</v>
      </c>
      <c r="J79" s="23">
        <v>0</v>
      </c>
      <c r="K79" s="23">
        <v>1</v>
      </c>
      <c r="L79" s="23">
        <v>0</v>
      </c>
      <c r="M79" s="23">
        <v>65535</v>
      </c>
      <c r="N79" s="23">
        <v>0</v>
      </c>
      <c r="O79" s="23" t="s">
        <v>80</v>
      </c>
      <c r="P79" s="23" t="s">
        <v>119</v>
      </c>
      <c r="Q79" s="23"/>
      <c r="R79" s="23"/>
      <c r="S79" s="83" t="s">
        <v>83</v>
      </c>
      <c r="T79" s="30" t="s">
        <v>84</v>
      </c>
      <c r="U79" s="35"/>
    </row>
    <row r="80" spans="1:21" ht="48">
      <c r="A80" s="23">
        <f t="shared" si="3"/>
        <v>70</v>
      </c>
      <c r="B80" s="23" t="s">
        <v>385</v>
      </c>
      <c r="C80" s="35" t="s">
        <v>386</v>
      </c>
      <c r="D80" s="16" t="s">
        <v>76</v>
      </c>
      <c r="E80" s="16">
        <v>0</v>
      </c>
      <c r="F80" s="21" t="s">
        <v>199</v>
      </c>
      <c r="G80" s="16" t="s">
        <v>195</v>
      </c>
      <c r="H80" s="16" t="s">
        <v>79</v>
      </c>
      <c r="I80" s="23">
        <v>1</v>
      </c>
      <c r="J80" s="23">
        <v>0</v>
      </c>
      <c r="K80" s="23">
        <v>1</v>
      </c>
      <c r="L80" s="23">
        <v>0</v>
      </c>
      <c r="M80" s="23">
        <v>250</v>
      </c>
      <c r="N80" s="23">
        <v>0</v>
      </c>
      <c r="O80" s="23" t="s">
        <v>387</v>
      </c>
      <c r="P80" s="23" t="s">
        <v>119</v>
      </c>
      <c r="Q80" s="23"/>
      <c r="R80" s="23"/>
      <c r="S80" s="83" t="s">
        <v>83</v>
      </c>
      <c r="T80" s="30" t="s">
        <v>84</v>
      </c>
      <c r="U80" s="35" t="s">
        <v>388</v>
      </c>
    </row>
    <row r="81" spans="1:21" customFormat="1" ht="48">
      <c r="A81" s="23">
        <f t="shared" si="3"/>
        <v>71</v>
      </c>
      <c r="B81" s="23" t="s">
        <v>389</v>
      </c>
      <c r="C81" s="35" t="s">
        <v>390</v>
      </c>
      <c r="D81" s="16" t="s">
        <v>76</v>
      </c>
      <c r="E81" s="16">
        <v>0</v>
      </c>
      <c r="F81" s="21" t="s">
        <v>199</v>
      </c>
      <c r="G81" s="16" t="s">
        <v>195</v>
      </c>
      <c r="H81" s="16" t="s">
        <v>79</v>
      </c>
      <c r="I81" s="23">
        <v>1</v>
      </c>
      <c r="J81" s="23">
        <v>0</v>
      </c>
      <c r="K81" s="23">
        <v>1</v>
      </c>
      <c r="L81" s="23">
        <v>0</v>
      </c>
      <c r="M81" s="23">
        <v>1</v>
      </c>
      <c r="N81" s="23">
        <v>0</v>
      </c>
      <c r="O81" s="23" t="s">
        <v>80</v>
      </c>
      <c r="P81" s="23" t="s">
        <v>119</v>
      </c>
      <c r="Q81" s="23"/>
      <c r="R81" s="23"/>
      <c r="S81" s="83" t="s">
        <v>83</v>
      </c>
      <c r="T81" s="30" t="s">
        <v>84</v>
      </c>
      <c r="U81" s="35" t="s">
        <v>391</v>
      </c>
    </row>
    <row r="82" spans="1:21" ht="48">
      <c r="A82" s="23">
        <f t="shared" si="3"/>
        <v>72</v>
      </c>
      <c r="B82" s="23" t="s">
        <v>392</v>
      </c>
      <c r="C82" s="35" t="s">
        <v>393</v>
      </c>
      <c r="D82" s="16" t="s">
        <v>76</v>
      </c>
      <c r="E82" s="16">
        <v>0</v>
      </c>
      <c r="F82" s="21" t="s">
        <v>199</v>
      </c>
      <c r="G82" s="16" t="s">
        <v>195</v>
      </c>
      <c r="H82" s="16" t="s">
        <v>79</v>
      </c>
      <c r="I82" s="23">
        <v>1</v>
      </c>
      <c r="J82" s="23">
        <v>0</v>
      </c>
      <c r="K82" s="23">
        <v>1</v>
      </c>
      <c r="L82" s="23">
        <v>0</v>
      </c>
      <c r="M82" s="23" t="s">
        <v>365</v>
      </c>
      <c r="N82" s="23">
        <v>0</v>
      </c>
      <c r="O82" s="23" t="s">
        <v>80</v>
      </c>
      <c r="P82" s="23" t="s">
        <v>119</v>
      </c>
      <c r="Q82" s="23"/>
      <c r="R82" s="23"/>
      <c r="S82" s="83" t="s">
        <v>83</v>
      </c>
      <c r="T82" s="30" t="s">
        <v>84</v>
      </c>
      <c r="U82" s="35"/>
    </row>
    <row r="83" spans="1:21" ht="48">
      <c r="A83" s="23">
        <f t="shared" si="3"/>
        <v>73</v>
      </c>
      <c r="B83" s="23" t="s">
        <v>394</v>
      </c>
      <c r="C83" s="35" t="s">
        <v>395</v>
      </c>
      <c r="D83" s="16" t="s">
        <v>76</v>
      </c>
      <c r="E83" s="16">
        <v>0</v>
      </c>
      <c r="F83" s="21" t="s">
        <v>199</v>
      </c>
      <c r="G83" s="16" t="s">
        <v>195</v>
      </c>
      <c r="H83" s="16" t="s">
        <v>79</v>
      </c>
      <c r="I83" s="23">
        <v>1</v>
      </c>
      <c r="J83" s="23">
        <v>0</v>
      </c>
      <c r="K83" s="23">
        <v>1</v>
      </c>
      <c r="L83" s="23">
        <v>0</v>
      </c>
      <c r="M83" s="23">
        <v>32</v>
      </c>
      <c r="N83" s="23">
        <v>6</v>
      </c>
      <c r="O83" s="23" t="s">
        <v>80</v>
      </c>
      <c r="P83" s="16" t="s">
        <v>81</v>
      </c>
      <c r="Q83" s="16"/>
      <c r="R83" s="16"/>
      <c r="S83" s="83" t="s">
        <v>135</v>
      </c>
      <c r="T83" s="30" t="s">
        <v>196</v>
      </c>
      <c r="U83" s="35" t="s">
        <v>396</v>
      </c>
    </row>
    <row r="84" spans="1:21" ht="48">
      <c r="A84" s="23">
        <f t="shared" si="3"/>
        <v>74</v>
      </c>
      <c r="B84" s="78" t="s">
        <v>397</v>
      </c>
      <c r="C84" s="63" t="s">
        <v>398</v>
      </c>
      <c r="D84" s="58" t="s">
        <v>76</v>
      </c>
      <c r="E84" s="58">
        <v>0</v>
      </c>
      <c r="F84" s="81" t="s">
        <v>199</v>
      </c>
      <c r="G84" s="58" t="s">
        <v>195</v>
      </c>
      <c r="H84" s="58" t="s">
        <v>79</v>
      </c>
      <c r="I84" s="78">
        <v>1</v>
      </c>
      <c r="J84" s="78">
        <v>0</v>
      </c>
      <c r="K84" s="78">
        <v>0.01</v>
      </c>
      <c r="L84" s="78">
        <v>0.8</v>
      </c>
      <c r="M84" s="78">
        <v>1.2</v>
      </c>
      <c r="N84" s="78">
        <v>1</v>
      </c>
      <c r="O84" s="78" t="s">
        <v>80</v>
      </c>
      <c r="P84" s="58" t="s">
        <v>81</v>
      </c>
      <c r="Q84" s="58"/>
      <c r="R84" s="58"/>
      <c r="S84" s="84" t="s">
        <v>135</v>
      </c>
      <c r="T84" s="85" t="s">
        <v>196</v>
      </c>
      <c r="U84" s="63" t="s">
        <v>399</v>
      </c>
    </row>
    <row r="85" spans="1:21" ht="48">
      <c r="A85" s="23">
        <f t="shared" si="3"/>
        <v>75</v>
      </c>
      <c r="B85" s="23" t="s">
        <v>400</v>
      </c>
      <c r="C85" s="35" t="s">
        <v>401</v>
      </c>
      <c r="D85" s="16" t="s">
        <v>76</v>
      </c>
      <c r="E85" s="16">
        <v>0</v>
      </c>
      <c r="F85" s="21" t="s">
        <v>199</v>
      </c>
      <c r="G85" s="16" t="s">
        <v>195</v>
      </c>
      <c r="H85" s="16" t="s">
        <v>79</v>
      </c>
      <c r="I85" s="23">
        <v>1</v>
      </c>
      <c r="J85" s="23">
        <v>0</v>
      </c>
      <c r="K85" s="23">
        <v>1</v>
      </c>
      <c r="L85" s="23">
        <v>0</v>
      </c>
      <c r="M85" s="23">
        <v>1</v>
      </c>
      <c r="N85" s="23">
        <v>0</v>
      </c>
      <c r="O85" s="23" t="s">
        <v>80</v>
      </c>
      <c r="P85" s="23" t="s">
        <v>119</v>
      </c>
      <c r="Q85" s="23"/>
      <c r="R85" s="23"/>
      <c r="S85" s="83" t="s">
        <v>83</v>
      </c>
      <c r="T85" s="30" t="s">
        <v>84</v>
      </c>
      <c r="U85" s="35" t="s">
        <v>402</v>
      </c>
    </row>
    <row r="86" spans="1:21" ht="48">
      <c r="A86" s="23">
        <f t="shared" si="3"/>
        <v>76</v>
      </c>
      <c r="B86" s="23" t="s">
        <v>403</v>
      </c>
      <c r="C86" s="35" t="s">
        <v>404</v>
      </c>
      <c r="D86" s="16" t="s">
        <v>76</v>
      </c>
      <c r="E86" s="16">
        <v>0</v>
      </c>
      <c r="F86" s="21" t="s">
        <v>199</v>
      </c>
      <c r="G86" s="16" t="s">
        <v>195</v>
      </c>
      <c r="H86" s="23" t="s">
        <v>210</v>
      </c>
      <c r="I86" s="23">
        <v>2</v>
      </c>
      <c r="J86" s="23">
        <v>0</v>
      </c>
      <c r="K86" s="23">
        <v>1</v>
      </c>
      <c r="L86" s="23">
        <v>0</v>
      </c>
      <c r="M86" s="23">
        <v>65535</v>
      </c>
      <c r="N86" s="23">
        <v>0</v>
      </c>
      <c r="O86" s="23" t="s">
        <v>80</v>
      </c>
      <c r="P86" s="23" t="s">
        <v>119</v>
      </c>
      <c r="Q86" s="23"/>
      <c r="R86" s="23"/>
      <c r="S86" s="83" t="s">
        <v>83</v>
      </c>
      <c r="T86" s="30" t="s">
        <v>84</v>
      </c>
      <c r="U86" s="35"/>
    </row>
    <row r="87" spans="1:21" ht="48">
      <c r="A87" s="23">
        <f t="shared" si="3"/>
        <v>77</v>
      </c>
      <c r="B87" s="23" t="s">
        <v>405</v>
      </c>
      <c r="C87" s="35" t="s">
        <v>406</v>
      </c>
      <c r="D87" s="16" t="s">
        <v>76</v>
      </c>
      <c r="E87" s="16">
        <v>0</v>
      </c>
      <c r="F87" s="21" t="s">
        <v>199</v>
      </c>
      <c r="G87" s="16" t="s">
        <v>195</v>
      </c>
      <c r="H87" s="23" t="s">
        <v>210</v>
      </c>
      <c r="I87" s="23">
        <v>2</v>
      </c>
      <c r="J87" s="23">
        <v>0</v>
      </c>
      <c r="K87" s="23">
        <v>1</v>
      </c>
      <c r="L87" s="23">
        <v>0</v>
      </c>
      <c r="M87" s="23">
        <v>1000</v>
      </c>
      <c r="N87" s="23">
        <v>0</v>
      </c>
      <c r="O87" s="23" t="s">
        <v>387</v>
      </c>
      <c r="P87" s="23" t="s">
        <v>119</v>
      </c>
      <c r="Q87" s="23"/>
      <c r="R87" s="23"/>
      <c r="S87" s="83" t="s">
        <v>83</v>
      </c>
      <c r="T87" s="30" t="s">
        <v>84</v>
      </c>
      <c r="U87" s="35"/>
    </row>
    <row r="88" spans="1:21" ht="48">
      <c r="A88" s="23">
        <f t="shared" si="3"/>
        <v>78</v>
      </c>
      <c r="B88" s="23" t="s">
        <v>407</v>
      </c>
      <c r="C88" s="35" t="s">
        <v>408</v>
      </c>
      <c r="D88" s="16" t="s">
        <v>76</v>
      </c>
      <c r="E88" s="16">
        <v>0</v>
      </c>
      <c r="F88" s="21" t="s">
        <v>199</v>
      </c>
      <c r="G88" s="16" t="s">
        <v>195</v>
      </c>
      <c r="H88" s="23" t="s">
        <v>210</v>
      </c>
      <c r="I88" s="23">
        <v>2</v>
      </c>
      <c r="J88" s="23">
        <v>0</v>
      </c>
      <c r="K88" s="23">
        <v>0.1</v>
      </c>
      <c r="L88" s="23">
        <v>0</v>
      </c>
      <c r="M88" s="23">
        <v>99.9</v>
      </c>
      <c r="N88" s="23">
        <v>0</v>
      </c>
      <c r="O88" s="23" t="s">
        <v>267</v>
      </c>
      <c r="P88" s="23" t="s">
        <v>119</v>
      </c>
      <c r="Q88" s="23"/>
      <c r="R88" s="23"/>
      <c r="S88" s="83" t="s">
        <v>83</v>
      </c>
      <c r="T88" s="30" t="s">
        <v>84</v>
      </c>
      <c r="U88" s="35"/>
    </row>
    <row r="89" spans="1:21" ht="48">
      <c r="A89" s="23">
        <f t="shared" si="3"/>
        <v>79</v>
      </c>
      <c r="B89" s="23" t="s">
        <v>409</v>
      </c>
      <c r="C89" s="35" t="s">
        <v>410</v>
      </c>
      <c r="D89" s="16" t="s">
        <v>76</v>
      </c>
      <c r="E89" s="16">
        <v>0</v>
      </c>
      <c r="F89" s="21" t="s">
        <v>199</v>
      </c>
      <c r="G89" s="16" t="s">
        <v>195</v>
      </c>
      <c r="H89" s="16" t="s">
        <v>79</v>
      </c>
      <c r="I89" s="23">
        <v>1</v>
      </c>
      <c r="J89" s="23">
        <v>0</v>
      </c>
      <c r="K89" s="23">
        <v>1</v>
      </c>
      <c r="L89" s="23">
        <v>0</v>
      </c>
      <c r="M89" s="23">
        <v>1</v>
      </c>
      <c r="N89" s="23">
        <v>0</v>
      </c>
      <c r="O89" s="23" t="s">
        <v>80</v>
      </c>
      <c r="P89" s="23" t="s">
        <v>119</v>
      </c>
      <c r="Q89" s="23"/>
      <c r="R89" s="23"/>
      <c r="S89" s="83" t="s">
        <v>83</v>
      </c>
      <c r="T89" s="30" t="s">
        <v>84</v>
      </c>
      <c r="U89" s="35"/>
    </row>
    <row r="90" spans="1:21" ht="48">
      <c r="A90" s="23">
        <f t="shared" si="3"/>
        <v>80</v>
      </c>
      <c r="B90" s="23" t="s">
        <v>411</v>
      </c>
      <c r="C90" s="35" t="s">
        <v>412</v>
      </c>
      <c r="D90" s="16" t="s">
        <v>76</v>
      </c>
      <c r="E90" s="16">
        <v>0</v>
      </c>
      <c r="F90" s="21" t="s">
        <v>199</v>
      </c>
      <c r="G90" s="16" t="s">
        <v>195</v>
      </c>
      <c r="H90" s="16" t="s">
        <v>79</v>
      </c>
      <c r="I90" s="23">
        <v>1</v>
      </c>
      <c r="J90" s="23">
        <v>0</v>
      </c>
      <c r="K90" s="23">
        <v>1</v>
      </c>
      <c r="L90" s="23">
        <v>0</v>
      </c>
      <c r="M90" s="23">
        <v>1</v>
      </c>
      <c r="N90" s="23">
        <v>0</v>
      </c>
      <c r="O90" s="23" t="s">
        <v>80</v>
      </c>
      <c r="P90" s="23" t="s">
        <v>119</v>
      </c>
      <c r="Q90" s="23"/>
      <c r="R90" s="23"/>
      <c r="S90" s="83" t="s">
        <v>83</v>
      </c>
      <c r="T90" s="30" t="s">
        <v>84</v>
      </c>
      <c r="U90" s="35" t="s">
        <v>413</v>
      </c>
    </row>
    <row r="91" spans="1:21" ht="48">
      <c r="A91" s="23">
        <f t="shared" si="3"/>
        <v>81</v>
      </c>
      <c r="B91" s="23" t="s">
        <v>414</v>
      </c>
      <c r="C91" s="35" t="s">
        <v>415</v>
      </c>
      <c r="D91" s="16" t="s">
        <v>76</v>
      </c>
      <c r="E91" s="16">
        <v>0</v>
      </c>
      <c r="F91" s="21" t="s">
        <v>199</v>
      </c>
      <c r="G91" s="16" t="s">
        <v>195</v>
      </c>
      <c r="H91" s="16" t="s">
        <v>79</v>
      </c>
      <c r="I91" s="23">
        <v>1</v>
      </c>
      <c r="J91" s="23">
        <v>0</v>
      </c>
      <c r="K91" s="23">
        <v>1</v>
      </c>
      <c r="L91" s="23">
        <v>0</v>
      </c>
      <c r="M91" s="23">
        <v>1</v>
      </c>
      <c r="N91" s="23">
        <v>0</v>
      </c>
      <c r="O91" s="23" t="s">
        <v>80</v>
      </c>
      <c r="P91" s="23" t="s">
        <v>119</v>
      </c>
      <c r="Q91" s="23"/>
      <c r="R91" s="23"/>
      <c r="S91" s="83" t="s">
        <v>83</v>
      </c>
      <c r="T91" s="30" t="s">
        <v>84</v>
      </c>
      <c r="U91" s="35" t="s">
        <v>416</v>
      </c>
    </row>
    <row r="92" spans="1:21" ht="48">
      <c r="A92" s="23">
        <f t="shared" si="3"/>
        <v>82</v>
      </c>
      <c r="B92" s="23" t="s">
        <v>417</v>
      </c>
      <c r="C92" s="35" t="s">
        <v>418</v>
      </c>
      <c r="D92" s="16" t="s">
        <v>76</v>
      </c>
      <c r="E92" s="16">
        <v>0</v>
      </c>
      <c r="F92" s="21" t="s">
        <v>199</v>
      </c>
      <c r="G92" s="16" t="s">
        <v>195</v>
      </c>
      <c r="H92" s="16" t="s">
        <v>79</v>
      </c>
      <c r="I92" s="23">
        <v>1</v>
      </c>
      <c r="J92" s="23">
        <v>0</v>
      </c>
      <c r="K92" s="23">
        <v>1</v>
      </c>
      <c r="L92" s="23">
        <v>0</v>
      </c>
      <c r="M92" s="23">
        <v>1</v>
      </c>
      <c r="N92" s="23">
        <v>0</v>
      </c>
      <c r="O92" s="23" t="s">
        <v>80</v>
      </c>
      <c r="P92" s="23" t="s">
        <v>119</v>
      </c>
      <c r="Q92" s="23"/>
      <c r="R92" s="23"/>
      <c r="S92" s="83" t="s">
        <v>83</v>
      </c>
      <c r="T92" s="30" t="s">
        <v>84</v>
      </c>
      <c r="U92" s="35"/>
    </row>
    <row r="93" spans="1:21" ht="48">
      <c r="A93" s="23">
        <f t="shared" si="3"/>
        <v>83</v>
      </c>
      <c r="B93" s="23" t="s">
        <v>419</v>
      </c>
      <c r="C93" s="35" t="s">
        <v>420</v>
      </c>
      <c r="D93" s="16" t="s">
        <v>76</v>
      </c>
      <c r="E93" s="16">
        <v>0</v>
      </c>
      <c r="F93" s="21" t="s">
        <v>199</v>
      </c>
      <c r="G93" s="16" t="s">
        <v>195</v>
      </c>
      <c r="H93" s="16" t="s">
        <v>79</v>
      </c>
      <c r="I93" s="23">
        <v>1</v>
      </c>
      <c r="J93" s="23">
        <v>0</v>
      </c>
      <c r="K93" s="23">
        <v>1</v>
      </c>
      <c r="L93" s="23">
        <v>0</v>
      </c>
      <c r="M93" s="23">
        <v>1</v>
      </c>
      <c r="N93" s="23">
        <v>0</v>
      </c>
      <c r="O93" s="23" t="s">
        <v>80</v>
      </c>
      <c r="P93" s="16" t="s">
        <v>81</v>
      </c>
      <c r="Q93" s="16"/>
      <c r="R93" s="16"/>
      <c r="S93" s="83" t="s">
        <v>135</v>
      </c>
      <c r="T93" s="30" t="s">
        <v>202</v>
      </c>
      <c r="U93" s="35" t="s">
        <v>421</v>
      </c>
    </row>
    <row r="94" spans="1:21" ht="48">
      <c r="A94" s="23">
        <f t="shared" si="3"/>
        <v>84</v>
      </c>
      <c r="B94" s="23" t="s">
        <v>422</v>
      </c>
      <c r="C94" s="35" t="s">
        <v>423</v>
      </c>
      <c r="D94" s="16" t="s">
        <v>76</v>
      </c>
      <c r="E94" s="16">
        <v>0</v>
      </c>
      <c r="F94" s="21" t="s">
        <v>199</v>
      </c>
      <c r="G94" s="16" t="s">
        <v>195</v>
      </c>
      <c r="H94" s="23" t="s">
        <v>210</v>
      </c>
      <c r="I94" s="23">
        <v>2</v>
      </c>
      <c r="J94" s="23">
        <v>0</v>
      </c>
      <c r="K94" s="23">
        <v>1</v>
      </c>
      <c r="L94" s="23">
        <v>0</v>
      </c>
      <c r="M94" s="23">
        <v>65535</v>
      </c>
      <c r="N94" s="23">
        <v>500</v>
      </c>
      <c r="O94" s="23" t="s">
        <v>424</v>
      </c>
      <c r="P94" s="16" t="s">
        <v>81</v>
      </c>
      <c r="Q94" s="16"/>
      <c r="R94" s="16"/>
      <c r="S94" s="83" t="s">
        <v>135</v>
      </c>
      <c r="T94" s="30" t="s">
        <v>196</v>
      </c>
      <c r="U94" s="35" t="s">
        <v>425</v>
      </c>
    </row>
    <row r="95" spans="1:21" ht="48">
      <c r="A95" s="23">
        <f t="shared" si="3"/>
        <v>85</v>
      </c>
      <c r="B95" s="23" t="s">
        <v>426</v>
      </c>
      <c r="C95" s="35" t="s">
        <v>427</v>
      </c>
      <c r="D95" s="16" t="s">
        <v>76</v>
      </c>
      <c r="E95" s="16">
        <v>0</v>
      </c>
      <c r="F95" s="21" t="s">
        <v>199</v>
      </c>
      <c r="G95" s="16" t="s">
        <v>195</v>
      </c>
      <c r="H95" s="16" t="s">
        <v>79</v>
      </c>
      <c r="I95" s="23">
        <v>1</v>
      </c>
      <c r="J95" s="23">
        <v>0</v>
      </c>
      <c r="K95" s="23">
        <v>1</v>
      </c>
      <c r="L95" s="23">
        <v>0</v>
      </c>
      <c r="M95" s="23">
        <v>100</v>
      </c>
      <c r="N95" s="23">
        <v>0</v>
      </c>
      <c r="O95" s="23" t="s">
        <v>316</v>
      </c>
      <c r="P95" s="16" t="s">
        <v>81</v>
      </c>
      <c r="Q95" s="16"/>
      <c r="R95" s="16"/>
      <c r="S95" s="83" t="s">
        <v>135</v>
      </c>
      <c r="T95" s="30" t="s">
        <v>202</v>
      </c>
      <c r="U95" s="35" t="s">
        <v>428</v>
      </c>
    </row>
    <row r="96" spans="1:21" ht="48">
      <c r="A96" s="23">
        <f t="shared" si="3"/>
        <v>86</v>
      </c>
      <c r="B96" s="23" t="s">
        <v>429</v>
      </c>
      <c r="C96" s="35" t="s">
        <v>430</v>
      </c>
      <c r="D96" s="16" t="s">
        <v>76</v>
      </c>
      <c r="E96" s="16">
        <v>0</v>
      </c>
      <c r="F96" s="21" t="s">
        <v>199</v>
      </c>
      <c r="G96" s="16" t="s">
        <v>195</v>
      </c>
      <c r="H96" s="16" t="s">
        <v>79</v>
      </c>
      <c r="I96" s="23">
        <v>1</v>
      </c>
      <c r="J96" s="23">
        <v>0</v>
      </c>
      <c r="K96" s="23">
        <v>1</v>
      </c>
      <c r="L96" s="23">
        <v>0</v>
      </c>
      <c r="M96" s="23">
        <v>1</v>
      </c>
      <c r="N96" s="23">
        <v>0</v>
      </c>
      <c r="O96" s="23" t="s">
        <v>80</v>
      </c>
      <c r="P96" s="23" t="s">
        <v>119</v>
      </c>
      <c r="Q96" s="23"/>
      <c r="R96" s="23"/>
      <c r="S96" s="83" t="s">
        <v>83</v>
      </c>
      <c r="T96" s="30" t="s">
        <v>84</v>
      </c>
      <c r="U96" s="35"/>
    </row>
    <row r="97" spans="1:21" ht="48">
      <c r="A97" s="23">
        <f t="shared" si="3"/>
        <v>87</v>
      </c>
      <c r="B97" s="23" t="s">
        <v>431</v>
      </c>
      <c r="C97" s="35" t="s">
        <v>432</v>
      </c>
      <c r="D97" s="16" t="s">
        <v>76</v>
      </c>
      <c r="E97" s="16">
        <v>0</v>
      </c>
      <c r="F97" s="21" t="s">
        <v>199</v>
      </c>
      <c r="G97" s="16" t="s">
        <v>195</v>
      </c>
      <c r="H97" s="16" t="s">
        <v>79</v>
      </c>
      <c r="I97" s="23">
        <v>1</v>
      </c>
      <c r="J97" s="23">
        <v>0</v>
      </c>
      <c r="K97" s="23">
        <v>1</v>
      </c>
      <c r="L97" s="23">
        <v>0</v>
      </c>
      <c r="M97" s="23" t="s">
        <v>365</v>
      </c>
      <c r="N97" s="23">
        <v>0</v>
      </c>
      <c r="O97" s="23" t="s">
        <v>80</v>
      </c>
      <c r="P97" s="23" t="s">
        <v>119</v>
      </c>
      <c r="Q97" s="23"/>
      <c r="R97" s="23"/>
      <c r="S97" s="83" t="s">
        <v>83</v>
      </c>
      <c r="T97" s="30" t="s">
        <v>84</v>
      </c>
      <c r="U97" s="35"/>
    </row>
    <row r="98" spans="1:21" ht="48">
      <c r="A98" s="23">
        <f t="shared" si="3"/>
        <v>88</v>
      </c>
      <c r="B98" s="23" t="s">
        <v>433</v>
      </c>
      <c r="C98" s="35" t="s">
        <v>434</v>
      </c>
      <c r="D98" s="16" t="s">
        <v>76</v>
      </c>
      <c r="E98" s="16">
        <v>0</v>
      </c>
      <c r="F98" s="21" t="s">
        <v>199</v>
      </c>
      <c r="G98" s="16" t="s">
        <v>195</v>
      </c>
      <c r="H98" s="16" t="s">
        <v>79</v>
      </c>
      <c r="I98" s="23">
        <v>1</v>
      </c>
      <c r="J98" s="23">
        <v>0</v>
      </c>
      <c r="K98" s="23">
        <v>1</v>
      </c>
      <c r="L98" s="23">
        <v>0</v>
      </c>
      <c r="M98" s="23" t="s">
        <v>365</v>
      </c>
      <c r="N98" s="23">
        <v>0</v>
      </c>
      <c r="O98" s="23" t="s">
        <v>80</v>
      </c>
      <c r="P98" s="23" t="s">
        <v>119</v>
      </c>
      <c r="Q98" s="23"/>
      <c r="R98" s="23"/>
      <c r="S98" s="83" t="s">
        <v>83</v>
      </c>
      <c r="T98" s="30" t="s">
        <v>84</v>
      </c>
      <c r="U98" s="35"/>
    </row>
    <row r="99" spans="1:21" s="71" customFormat="1" ht="36" customHeight="1">
      <c r="A99" s="77" t="s">
        <v>435</v>
      </c>
      <c r="B99" s="77"/>
      <c r="C99" s="77"/>
      <c r="D99" s="77"/>
      <c r="E99" s="77"/>
      <c r="F99" s="77"/>
      <c r="G99" s="77"/>
      <c r="H99" s="77"/>
      <c r="I99" s="77"/>
      <c r="J99" s="77"/>
      <c r="K99" s="82"/>
      <c r="L99" s="77"/>
      <c r="M99" s="82"/>
      <c r="N99" s="82"/>
      <c r="O99" s="82"/>
      <c r="P99" s="77"/>
      <c r="Q99" s="77"/>
      <c r="R99" s="77"/>
      <c r="S99" s="77"/>
      <c r="T99" s="32"/>
      <c r="U99" s="88"/>
    </row>
    <row r="100" spans="1:21" ht="59.25" customHeight="1">
      <c r="A100" s="23">
        <f>A98+1</f>
        <v>89</v>
      </c>
      <c r="B100" s="78" t="s">
        <v>436</v>
      </c>
      <c r="C100" s="63" t="s">
        <v>437</v>
      </c>
      <c r="D100" s="58" t="s">
        <v>76</v>
      </c>
      <c r="E100" s="58">
        <v>0</v>
      </c>
      <c r="F100" s="81" t="s">
        <v>199</v>
      </c>
      <c r="G100" s="58" t="s">
        <v>195</v>
      </c>
      <c r="H100" s="58" t="s">
        <v>79</v>
      </c>
      <c r="I100" s="78">
        <v>1</v>
      </c>
      <c r="J100" s="78">
        <v>0</v>
      </c>
      <c r="K100" s="78">
        <v>1</v>
      </c>
      <c r="L100" s="78">
        <v>0</v>
      </c>
      <c r="M100" s="78">
        <v>1</v>
      </c>
      <c r="N100" s="78">
        <v>1</v>
      </c>
      <c r="O100" s="78" t="s">
        <v>80</v>
      </c>
      <c r="P100" s="58" t="s">
        <v>81</v>
      </c>
      <c r="Q100" s="58"/>
      <c r="R100" s="58"/>
      <c r="S100" s="84" t="s">
        <v>135</v>
      </c>
      <c r="T100" s="85" t="s">
        <v>202</v>
      </c>
      <c r="U100" s="63" t="s">
        <v>438</v>
      </c>
    </row>
    <row r="101" spans="1:21" ht="90" customHeight="1">
      <c r="A101" s="23">
        <f t="shared" ref="A101:A111" si="4">A100+1</f>
        <v>90</v>
      </c>
      <c r="B101" s="78" t="s">
        <v>439</v>
      </c>
      <c r="C101" s="63" t="s">
        <v>440</v>
      </c>
      <c r="D101" s="58" t="s">
        <v>76</v>
      </c>
      <c r="E101" s="58">
        <v>0</v>
      </c>
      <c r="F101" s="81" t="s">
        <v>199</v>
      </c>
      <c r="G101" s="58" t="s">
        <v>195</v>
      </c>
      <c r="H101" s="58" t="s">
        <v>79</v>
      </c>
      <c r="I101" s="78">
        <v>1</v>
      </c>
      <c r="J101" s="78">
        <v>0</v>
      </c>
      <c r="K101" s="78">
        <v>1</v>
      </c>
      <c r="L101" s="78">
        <v>0</v>
      </c>
      <c r="M101" s="78">
        <v>3</v>
      </c>
      <c r="N101" s="78">
        <v>0</v>
      </c>
      <c r="O101" s="78" t="s">
        <v>80</v>
      </c>
      <c r="P101" s="58" t="s">
        <v>81</v>
      </c>
      <c r="Q101" s="58"/>
      <c r="R101" s="58"/>
      <c r="S101" s="84" t="s">
        <v>135</v>
      </c>
      <c r="T101" s="85" t="s">
        <v>202</v>
      </c>
      <c r="U101" s="63" t="s">
        <v>441</v>
      </c>
    </row>
    <row r="102" spans="1:21" s="10" customFormat="1" ht="48">
      <c r="A102" s="23">
        <f t="shared" si="4"/>
        <v>91</v>
      </c>
      <c r="B102" s="23" t="s">
        <v>442</v>
      </c>
      <c r="C102" s="35" t="s">
        <v>443</v>
      </c>
      <c r="D102" s="16" t="s">
        <v>76</v>
      </c>
      <c r="E102" s="16">
        <v>0</v>
      </c>
      <c r="F102" s="21" t="s">
        <v>199</v>
      </c>
      <c r="G102" s="16" t="s">
        <v>195</v>
      </c>
      <c r="H102" s="16" t="s">
        <v>79</v>
      </c>
      <c r="I102" s="23">
        <v>1</v>
      </c>
      <c r="J102" s="23">
        <v>0</v>
      </c>
      <c r="K102" s="23">
        <v>1</v>
      </c>
      <c r="L102" s="23">
        <v>0</v>
      </c>
      <c r="M102" s="23">
        <v>100</v>
      </c>
      <c r="N102" s="23">
        <v>100</v>
      </c>
      <c r="O102" s="23" t="s">
        <v>316</v>
      </c>
      <c r="P102" s="16" t="s">
        <v>81</v>
      </c>
      <c r="Q102" s="16"/>
      <c r="R102" s="16"/>
      <c r="S102" s="83" t="s">
        <v>135</v>
      </c>
      <c r="T102" s="30" t="s">
        <v>202</v>
      </c>
      <c r="U102" s="35"/>
    </row>
    <row r="103" spans="1:21" ht="48">
      <c r="A103" s="23">
        <f t="shared" si="4"/>
        <v>92</v>
      </c>
      <c r="B103" s="23" t="s">
        <v>444</v>
      </c>
      <c r="C103" s="35" t="s">
        <v>445</v>
      </c>
      <c r="D103" s="16" t="s">
        <v>76</v>
      </c>
      <c r="E103" s="16">
        <v>0</v>
      </c>
      <c r="F103" s="21" t="s">
        <v>199</v>
      </c>
      <c r="G103" s="16" t="s">
        <v>195</v>
      </c>
      <c r="H103" s="16" t="s">
        <v>79</v>
      </c>
      <c r="I103" s="23">
        <v>1</v>
      </c>
      <c r="J103" s="23">
        <v>0</v>
      </c>
      <c r="K103" s="23">
        <v>1</v>
      </c>
      <c r="L103" s="23">
        <v>0</v>
      </c>
      <c r="M103" s="23">
        <v>1</v>
      </c>
      <c r="N103" s="23">
        <v>0</v>
      </c>
      <c r="O103" s="23" t="s">
        <v>80</v>
      </c>
      <c r="P103" s="16" t="s">
        <v>81</v>
      </c>
      <c r="Q103" s="16"/>
      <c r="R103" s="16"/>
      <c r="S103" s="83" t="s">
        <v>135</v>
      </c>
      <c r="T103" s="30" t="s">
        <v>202</v>
      </c>
      <c r="U103" s="35" t="s">
        <v>446</v>
      </c>
    </row>
    <row r="104" spans="1:21" s="10" customFormat="1" ht="48">
      <c r="A104" s="23">
        <f t="shared" si="4"/>
        <v>93</v>
      </c>
      <c r="B104" s="23" t="s">
        <v>447</v>
      </c>
      <c r="C104" s="35" t="s">
        <v>448</v>
      </c>
      <c r="D104" s="16" t="s">
        <v>76</v>
      </c>
      <c r="E104" s="16">
        <v>0</v>
      </c>
      <c r="F104" s="21" t="s">
        <v>199</v>
      </c>
      <c r="G104" s="16" t="s">
        <v>195</v>
      </c>
      <c r="H104" s="16" t="s">
        <v>79</v>
      </c>
      <c r="I104" s="23">
        <v>1</v>
      </c>
      <c r="J104" s="23">
        <v>0</v>
      </c>
      <c r="K104" s="23">
        <v>1</v>
      </c>
      <c r="L104" s="23">
        <v>0</v>
      </c>
      <c r="M104" s="23">
        <v>100</v>
      </c>
      <c r="N104" s="23">
        <v>50</v>
      </c>
      <c r="O104" s="23" t="s">
        <v>316</v>
      </c>
      <c r="P104" s="16" t="s">
        <v>81</v>
      </c>
      <c r="Q104" s="16"/>
      <c r="R104" s="16"/>
      <c r="S104" s="83" t="s">
        <v>135</v>
      </c>
      <c r="T104" s="30" t="s">
        <v>202</v>
      </c>
      <c r="U104" s="35"/>
    </row>
    <row r="105" spans="1:21" s="10" customFormat="1" ht="48">
      <c r="A105" s="23">
        <f t="shared" si="4"/>
        <v>94</v>
      </c>
      <c r="B105" s="23" t="s">
        <v>449</v>
      </c>
      <c r="C105" s="35" t="s">
        <v>450</v>
      </c>
      <c r="D105" s="16" t="s">
        <v>76</v>
      </c>
      <c r="E105" s="16">
        <v>0</v>
      </c>
      <c r="F105" s="21" t="s">
        <v>199</v>
      </c>
      <c r="G105" s="16" t="s">
        <v>195</v>
      </c>
      <c r="H105" s="16" t="s">
        <v>79</v>
      </c>
      <c r="I105" s="23">
        <v>1</v>
      </c>
      <c r="J105" s="23">
        <v>0</v>
      </c>
      <c r="K105" s="23">
        <v>1</v>
      </c>
      <c r="L105" s="23">
        <v>0</v>
      </c>
      <c r="M105" s="23">
        <v>100</v>
      </c>
      <c r="N105" s="23">
        <v>100</v>
      </c>
      <c r="O105" s="23" t="s">
        <v>316</v>
      </c>
      <c r="P105" s="16" t="s">
        <v>81</v>
      </c>
      <c r="Q105" s="16"/>
      <c r="R105" s="16"/>
      <c r="S105" s="83" t="s">
        <v>135</v>
      </c>
      <c r="T105" s="30" t="s">
        <v>202</v>
      </c>
      <c r="U105" s="35"/>
    </row>
    <row r="106" spans="1:21" ht="68">
      <c r="A106" s="23">
        <f t="shared" si="4"/>
        <v>95</v>
      </c>
      <c r="B106" s="23" t="s">
        <v>451</v>
      </c>
      <c r="C106" s="35" t="s">
        <v>452</v>
      </c>
      <c r="D106" s="16" t="s">
        <v>76</v>
      </c>
      <c r="E106" s="16">
        <v>0</v>
      </c>
      <c r="F106" s="21" t="s">
        <v>199</v>
      </c>
      <c r="G106" s="16" t="s">
        <v>195</v>
      </c>
      <c r="H106" s="16" t="s">
        <v>79</v>
      </c>
      <c r="I106" s="23">
        <v>1</v>
      </c>
      <c r="J106" s="23">
        <v>0</v>
      </c>
      <c r="K106" s="23">
        <v>1</v>
      </c>
      <c r="L106" s="23">
        <v>0</v>
      </c>
      <c r="M106" s="23">
        <v>1</v>
      </c>
      <c r="N106" s="23">
        <v>0</v>
      </c>
      <c r="O106" s="23" t="s">
        <v>80</v>
      </c>
      <c r="P106" s="23" t="s">
        <v>81</v>
      </c>
      <c r="Q106" s="23"/>
      <c r="R106" s="23"/>
      <c r="S106" s="83" t="s">
        <v>135</v>
      </c>
      <c r="T106" s="30" t="s">
        <v>252</v>
      </c>
      <c r="U106" s="35" t="s">
        <v>453</v>
      </c>
    </row>
    <row r="107" spans="1:21" ht="68">
      <c r="A107" s="23">
        <f t="shared" si="4"/>
        <v>96</v>
      </c>
      <c r="B107" s="23" t="s">
        <v>454</v>
      </c>
      <c r="C107" s="35" t="s">
        <v>455</v>
      </c>
      <c r="D107" s="16" t="s">
        <v>76</v>
      </c>
      <c r="E107" s="16">
        <v>0</v>
      </c>
      <c r="F107" s="21" t="s">
        <v>199</v>
      </c>
      <c r="G107" s="16" t="s">
        <v>195</v>
      </c>
      <c r="H107" s="16" t="s">
        <v>79</v>
      </c>
      <c r="I107" s="23">
        <v>1</v>
      </c>
      <c r="J107" s="23">
        <v>0</v>
      </c>
      <c r="K107" s="23">
        <v>1</v>
      </c>
      <c r="L107" s="23">
        <v>0</v>
      </c>
      <c r="M107" s="23">
        <v>1</v>
      </c>
      <c r="N107" s="23">
        <v>0</v>
      </c>
      <c r="O107" s="23" t="s">
        <v>80</v>
      </c>
      <c r="P107" s="23" t="s">
        <v>81</v>
      </c>
      <c r="Q107" s="23"/>
      <c r="R107" s="23"/>
      <c r="S107" s="83" t="s">
        <v>135</v>
      </c>
      <c r="T107" s="30" t="s">
        <v>252</v>
      </c>
      <c r="U107" s="35" t="s">
        <v>453</v>
      </c>
    </row>
    <row r="108" spans="1:21" s="10" customFormat="1" ht="68">
      <c r="A108" s="23">
        <f t="shared" si="4"/>
        <v>97</v>
      </c>
      <c r="B108" s="78" t="s">
        <v>456</v>
      </c>
      <c r="C108" s="63" t="s">
        <v>457</v>
      </c>
      <c r="D108" s="58" t="s">
        <v>76</v>
      </c>
      <c r="E108" s="58">
        <v>0</v>
      </c>
      <c r="F108" s="81" t="s">
        <v>199</v>
      </c>
      <c r="G108" s="58" t="s">
        <v>195</v>
      </c>
      <c r="H108" s="58" t="s">
        <v>79</v>
      </c>
      <c r="I108" s="78">
        <v>1</v>
      </c>
      <c r="J108" s="78">
        <v>0</v>
      </c>
      <c r="K108" s="78">
        <v>1</v>
      </c>
      <c r="L108" s="78">
        <v>0</v>
      </c>
      <c r="M108" s="78">
        <v>1</v>
      </c>
      <c r="N108" s="78">
        <v>0</v>
      </c>
      <c r="O108" s="78" t="s">
        <v>80</v>
      </c>
      <c r="P108" s="78" t="s">
        <v>81</v>
      </c>
      <c r="Q108" s="78"/>
      <c r="R108" s="78"/>
      <c r="S108" s="84" t="s">
        <v>135</v>
      </c>
      <c r="T108" s="85" t="s">
        <v>252</v>
      </c>
      <c r="U108" s="63" t="s">
        <v>458</v>
      </c>
    </row>
    <row r="109" spans="1:21" s="71" customFormat="1" ht="68">
      <c r="A109" s="23">
        <f t="shared" si="4"/>
        <v>98</v>
      </c>
      <c r="B109" s="23" t="s">
        <v>459</v>
      </c>
      <c r="C109" s="35" t="s">
        <v>460</v>
      </c>
      <c r="D109" s="16" t="s">
        <v>76</v>
      </c>
      <c r="E109" s="16">
        <v>0</v>
      </c>
      <c r="F109" s="21" t="s">
        <v>199</v>
      </c>
      <c r="G109" s="16" t="s">
        <v>195</v>
      </c>
      <c r="H109" s="16" t="s">
        <v>79</v>
      </c>
      <c r="I109" s="23">
        <v>1</v>
      </c>
      <c r="J109" s="23">
        <v>0</v>
      </c>
      <c r="K109" s="23">
        <v>1</v>
      </c>
      <c r="L109" s="23">
        <v>0</v>
      </c>
      <c r="M109" s="23">
        <v>1</v>
      </c>
      <c r="N109" s="23">
        <v>0</v>
      </c>
      <c r="O109" s="23" t="s">
        <v>80</v>
      </c>
      <c r="P109" s="23" t="s">
        <v>81</v>
      </c>
      <c r="Q109" s="23"/>
      <c r="R109" s="23"/>
      <c r="S109" s="83" t="s">
        <v>83</v>
      </c>
      <c r="T109" s="30" t="s">
        <v>84</v>
      </c>
      <c r="U109" s="35" t="s">
        <v>453</v>
      </c>
    </row>
    <row r="110" spans="1:21" s="71" customFormat="1" ht="37.5" customHeight="1">
      <c r="A110" s="23">
        <f t="shared" si="4"/>
        <v>99</v>
      </c>
      <c r="B110" s="23" t="s">
        <v>461</v>
      </c>
      <c r="C110" s="35" t="s">
        <v>462</v>
      </c>
      <c r="D110" s="16" t="s">
        <v>76</v>
      </c>
      <c r="E110" s="16">
        <v>0</v>
      </c>
      <c r="F110" s="21" t="s">
        <v>199</v>
      </c>
      <c r="G110" s="16" t="s">
        <v>195</v>
      </c>
      <c r="H110" s="16" t="s">
        <v>79</v>
      </c>
      <c r="I110" s="23">
        <v>1</v>
      </c>
      <c r="J110" s="23">
        <v>0</v>
      </c>
      <c r="K110" s="23">
        <v>1</v>
      </c>
      <c r="L110" s="23">
        <v>0</v>
      </c>
      <c r="M110" s="23">
        <v>1</v>
      </c>
      <c r="N110" s="23">
        <v>0</v>
      </c>
      <c r="O110" s="23" t="s">
        <v>80</v>
      </c>
      <c r="P110" s="23" t="s">
        <v>119</v>
      </c>
      <c r="Q110" s="23"/>
      <c r="R110" s="23"/>
      <c r="S110" s="83" t="s">
        <v>83</v>
      </c>
      <c r="T110" s="30" t="s">
        <v>84</v>
      </c>
      <c r="U110" s="35"/>
    </row>
    <row r="111" spans="1:21" s="71" customFormat="1" ht="37.5" customHeight="1">
      <c r="A111" s="23">
        <f t="shared" si="4"/>
        <v>100</v>
      </c>
      <c r="B111" s="23" t="s">
        <v>463</v>
      </c>
      <c r="C111" s="35" t="s">
        <v>464</v>
      </c>
      <c r="D111" s="16" t="s">
        <v>76</v>
      </c>
      <c r="E111" s="16">
        <v>0</v>
      </c>
      <c r="F111" s="21" t="s">
        <v>199</v>
      </c>
      <c r="G111" s="16" t="s">
        <v>195</v>
      </c>
      <c r="H111" s="16" t="s">
        <v>79</v>
      </c>
      <c r="I111" s="23">
        <v>1</v>
      </c>
      <c r="J111" s="23">
        <v>0</v>
      </c>
      <c r="K111" s="23">
        <v>1</v>
      </c>
      <c r="L111" s="23">
        <v>0</v>
      </c>
      <c r="M111" s="23">
        <v>1</v>
      </c>
      <c r="N111" s="23">
        <v>0</v>
      </c>
      <c r="O111" s="23" t="s">
        <v>80</v>
      </c>
      <c r="P111" s="23" t="s">
        <v>119</v>
      </c>
      <c r="Q111" s="23"/>
      <c r="R111" s="23"/>
      <c r="S111" s="83" t="s">
        <v>83</v>
      </c>
      <c r="T111" s="30" t="s">
        <v>84</v>
      </c>
      <c r="U111" s="35"/>
    </row>
    <row r="112" spans="1:21" s="71" customFormat="1" ht="36" customHeight="1">
      <c r="A112" s="77" t="s">
        <v>465</v>
      </c>
      <c r="B112" s="77"/>
      <c r="C112" s="77"/>
      <c r="D112" s="77"/>
      <c r="E112" s="77"/>
      <c r="F112" s="77"/>
      <c r="G112" s="77"/>
      <c r="H112" s="77"/>
      <c r="I112" s="77"/>
      <c r="J112" s="77"/>
      <c r="K112" s="82"/>
      <c r="L112" s="77"/>
      <c r="M112" s="82"/>
      <c r="N112" s="82"/>
      <c r="O112" s="82"/>
      <c r="P112" s="77"/>
      <c r="Q112" s="77"/>
      <c r="R112" s="77"/>
      <c r="S112" s="77"/>
      <c r="T112" s="32"/>
      <c r="U112" s="88"/>
    </row>
    <row r="113" spans="1:21" ht="48">
      <c r="A113" s="23">
        <f>A111+1</f>
        <v>101</v>
      </c>
      <c r="B113" s="23" t="s">
        <v>466</v>
      </c>
      <c r="C113" s="35" t="s">
        <v>467</v>
      </c>
      <c r="D113" s="16" t="s">
        <v>76</v>
      </c>
      <c r="E113" s="16">
        <v>0</v>
      </c>
      <c r="F113" s="21" t="s">
        <v>199</v>
      </c>
      <c r="G113" s="16" t="s">
        <v>195</v>
      </c>
      <c r="H113" s="23" t="s">
        <v>306</v>
      </c>
      <c r="I113" s="23">
        <v>4</v>
      </c>
      <c r="J113" s="23">
        <v>0</v>
      </c>
      <c r="K113" s="23">
        <v>1</v>
      </c>
      <c r="L113" s="23">
        <v>0</v>
      </c>
      <c r="M113" s="78">
        <v>65535</v>
      </c>
      <c r="N113" s="23">
        <v>0</v>
      </c>
      <c r="O113" s="23" t="s">
        <v>468</v>
      </c>
      <c r="P113" s="16" t="s">
        <v>81</v>
      </c>
      <c r="Q113" s="16"/>
      <c r="R113" s="16"/>
      <c r="S113" s="83" t="s">
        <v>135</v>
      </c>
      <c r="T113" s="30" t="s">
        <v>196</v>
      </c>
      <c r="U113" s="35"/>
    </row>
    <row r="114" spans="1:21" ht="48">
      <c r="A114" s="23">
        <f t="shared" ref="A114:A174" si="5">A113+1</f>
        <v>102</v>
      </c>
      <c r="B114" s="23" t="s">
        <v>469</v>
      </c>
      <c r="C114" s="35" t="s">
        <v>470</v>
      </c>
      <c r="D114" s="16" t="s">
        <v>76</v>
      </c>
      <c r="E114" s="16">
        <v>0</v>
      </c>
      <c r="F114" s="21" t="s">
        <v>199</v>
      </c>
      <c r="G114" s="16" t="s">
        <v>195</v>
      </c>
      <c r="H114" s="23" t="s">
        <v>306</v>
      </c>
      <c r="I114" s="23">
        <v>4</v>
      </c>
      <c r="J114" s="23">
        <v>0</v>
      </c>
      <c r="K114" s="23">
        <v>1</v>
      </c>
      <c r="L114" s="23">
        <v>0</v>
      </c>
      <c r="M114" s="78">
        <v>65535</v>
      </c>
      <c r="N114" s="23">
        <v>0</v>
      </c>
      <c r="O114" s="23" t="s">
        <v>468</v>
      </c>
      <c r="P114" s="16" t="s">
        <v>81</v>
      </c>
      <c r="Q114" s="16"/>
      <c r="R114" s="16"/>
      <c r="S114" s="83" t="s">
        <v>135</v>
      </c>
      <c r="T114" s="30" t="s">
        <v>196</v>
      </c>
      <c r="U114" s="35"/>
    </row>
    <row r="115" spans="1:21" ht="48">
      <c r="A115" s="23">
        <f t="shared" si="5"/>
        <v>103</v>
      </c>
      <c r="B115" s="23" t="s">
        <v>471</v>
      </c>
      <c r="C115" s="35" t="s">
        <v>472</v>
      </c>
      <c r="D115" s="16" t="s">
        <v>76</v>
      </c>
      <c r="E115" s="16">
        <v>0</v>
      </c>
      <c r="F115" s="21" t="s">
        <v>199</v>
      </c>
      <c r="G115" s="16" t="s">
        <v>195</v>
      </c>
      <c r="H115" s="23" t="s">
        <v>306</v>
      </c>
      <c r="I115" s="23">
        <v>4</v>
      </c>
      <c r="J115" s="23">
        <v>0</v>
      </c>
      <c r="K115" s="23">
        <v>1</v>
      </c>
      <c r="L115" s="23">
        <v>0</v>
      </c>
      <c r="M115" s="78">
        <v>65535</v>
      </c>
      <c r="N115" s="23">
        <v>0</v>
      </c>
      <c r="O115" s="23" t="s">
        <v>473</v>
      </c>
      <c r="P115" s="16" t="s">
        <v>81</v>
      </c>
      <c r="Q115" s="16"/>
      <c r="R115" s="16"/>
      <c r="S115" s="83" t="s">
        <v>135</v>
      </c>
      <c r="T115" s="30" t="s">
        <v>196</v>
      </c>
      <c r="U115" s="35"/>
    </row>
    <row r="116" spans="1:21" ht="48">
      <c r="A116" s="23">
        <f t="shared" si="5"/>
        <v>104</v>
      </c>
      <c r="B116" s="23" t="s">
        <v>474</v>
      </c>
      <c r="C116" s="35" t="s">
        <v>475</v>
      </c>
      <c r="D116" s="16" t="s">
        <v>76</v>
      </c>
      <c r="E116" s="16">
        <v>0</v>
      </c>
      <c r="F116" s="21" t="s">
        <v>199</v>
      </c>
      <c r="G116" s="16" t="s">
        <v>195</v>
      </c>
      <c r="H116" s="23" t="s">
        <v>306</v>
      </c>
      <c r="I116" s="23">
        <v>4</v>
      </c>
      <c r="J116" s="23">
        <v>0</v>
      </c>
      <c r="K116" s="23">
        <v>1</v>
      </c>
      <c r="L116" s="23">
        <v>0</v>
      </c>
      <c r="M116" s="78">
        <v>65535</v>
      </c>
      <c r="N116" s="23">
        <v>0</v>
      </c>
      <c r="O116" s="23" t="s">
        <v>476</v>
      </c>
      <c r="P116" s="16" t="s">
        <v>81</v>
      </c>
      <c r="Q116" s="16"/>
      <c r="R116" s="16"/>
      <c r="S116" s="83" t="s">
        <v>135</v>
      </c>
      <c r="T116" s="30" t="s">
        <v>196</v>
      </c>
      <c r="U116" s="35"/>
    </row>
    <row r="117" spans="1:21" ht="48">
      <c r="A117" s="23">
        <f t="shared" si="5"/>
        <v>105</v>
      </c>
      <c r="B117" s="23" t="s">
        <v>477</v>
      </c>
      <c r="C117" s="35" t="s">
        <v>478</v>
      </c>
      <c r="D117" s="16" t="s">
        <v>76</v>
      </c>
      <c r="E117" s="16">
        <v>0</v>
      </c>
      <c r="F117" s="21" t="s">
        <v>199</v>
      </c>
      <c r="G117" s="16" t="s">
        <v>195</v>
      </c>
      <c r="H117" s="16" t="s">
        <v>79</v>
      </c>
      <c r="I117" s="23">
        <v>1</v>
      </c>
      <c r="J117" s="23">
        <v>0</v>
      </c>
      <c r="K117" s="23">
        <v>1</v>
      </c>
      <c r="L117" s="23">
        <v>0</v>
      </c>
      <c r="M117" s="23">
        <v>20</v>
      </c>
      <c r="N117" s="23">
        <v>0</v>
      </c>
      <c r="O117" s="23" t="s">
        <v>80</v>
      </c>
      <c r="P117" s="16" t="s">
        <v>81</v>
      </c>
      <c r="Q117" s="16"/>
      <c r="R117" s="16"/>
      <c r="S117" s="83" t="s">
        <v>135</v>
      </c>
      <c r="T117" s="30" t="s">
        <v>196</v>
      </c>
      <c r="U117" s="35"/>
    </row>
    <row r="118" spans="1:21" ht="48">
      <c r="A118" s="23">
        <f t="shared" si="5"/>
        <v>106</v>
      </c>
      <c r="B118" s="23" t="s">
        <v>479</v>
      </c>
      <c r="C118" s="35" t="s">
        <v>480</v>
      </c>
      <c r="D118" s="16" t="s">
        <v>76</v>
      </c>
      <c r="E118" s="16">
        <v>0</v>
      </c>
      <c r="F118" s="21" t="s">
        <v>199</v>
      </c>
      <c r="G118" s="16" t="s">
        <v>195</v>
      </c>
      <c r="H118" s="23" t="s">
        <v>306</v>
      </c>
      <c r="I118" s="23">
        <v>4</v>
      </c>
      <c r="J118" s="23">
        <v>0</v>
      </c>
      <c r="K118" s="23">
        <v>1</v>
      </c>
      <c r="L118" s="23">
        <v>0</v>
      </c>
      <c r="M118" s="78">
        <v>65535</v>
      </c>
      <c r="N118" s="23">
        <v>0</v>
      </c>
      <c r="O118" s="23" t="s">
        <v>80</v>
      </c>
      <c r="P118" s="16" t="s">
        <v>81</v>
      </c>
      <c r="Q118" s="16"/>
      <c r="R118" s="16"/>
      <c r="S118" s="83" t="s">
        <v>135</v>
      </c>
      <c r="T118" s="30" t="s">
        <v>196</v>
      </c>
      <c r="U118" s="35"/>
    </row>
    <row r="119" spans="1:21" ht="48">
      <c r="A119" s="23">
        <f t="shared" si="5"/>
        <v>107</v>
      </c>
      <c r="B119" s="23" t="s">
        <v>481</v>
      </c>
      <c r="C119" s="35" t="s">
        <v>482</v>
      </c>
      <c r="D119" s="16" t="s">
        <v>76</v>
      </c>
      <c r="E119" s="16">
        <v>0</v>
      </c>
      <c r="F119" s="21" t="s">
        <v>199</v>
      </c>
      <c r="G119" s="16" t="s">
        <v>195</v>
      </c>
      <c r="H119" s="23" t="s">
        <v>306</v>
      </c>
      <c r="I119" s="23">
        <v>4</v>
      </c>
      <c r="J119" s="23">
        <v>0</v>
      </c>
      <c r="K119" s="23">
        <v>1</v>
      </c>
      <c r="L119" s="23">
        <v>0</v>
      </c>
      <c r="M119" s="78">
        <v>65535</v>
      </c>
      <c r="N119" s="23">
        <v>0</v>
      </c>
      <c r="O119" s="23" t="s">
        <v>80</v>
      </c>
      <c r="P119" s="16" t="s">
        <v>81</v>
      </c>
      <c r="Q119" s="16"/>
      <c r="R119" s="16"/>
      <c r="S119" s="83" t="s">
        <v>135</v>
      </c>
      <c r="T119" s="30" t="s">
        <v>196</v>
      </c>
      <c r="U119" s="35"/>
    </row>
    <row r="120" spans="1:21" ht="48">
      <c r="A120" s="23">
        <f t="shared" si="5"/>
        <v>108</v>
      </c>
      <c r="B120" s="23" t="s">
        <v>483</v>
      </c>
      <c r="C120" s="35" t="s">
        <v>484</v>
      </c>
      <c r="D120" s="16" t="s">
        <v>76</v>
      </c>
      <c r="E120" s="16">
        <v>0</v>
      </c>
      <c r="F120" s="21" t="s">
        <v>199</v>
      </c>
      <c r="G120" s="16" t="s">
        <v>195</v>
      </c>
      <c r="H120" s="23" t="s">
        <v>306</v>
      </c>
      <c r="I120" s="23">
        <v>4</v>
      </c>
      <c r="J120" s="23">
        <v>0</v>
      </c>
      <c r="K120" s="23">
        <v>1</v>
      </c>
      <c r="L120" s="23">
        <v>0</v>
      </c>
      <c r="M120" s="78">
        <v>65535</v>
      </c>
      <c r="N120" s="23">
        <v>0</v>
      </c>
      <c r="O120" s="23" t="s">
        <v>80</v>
      </c>
      <c r="P120" s="16" t="s">
        <v>81</v>
      </c>
      <c r="Q120" s="16"/>
      <c r="R120" s="16"/>
      <c r="S120" s="83" t="s">
        <v>135</v>
      </c>
      <c r="T120" s="30" t="s">
        <v>196</v>
      </c>
      <c r="U120" s="35"/>
    </row>
    <row r="121" spans="1:21" ht="48">
      <c r="A121" s="23">
        <f t="shared" si="5"/>
        <v>109</v>
      </c>
      <c r="B121" s="23" t="s">
        <v>485</v>
      </c>
      <c r="C121" s="35" t="s">
        <v>486</v>
      </c>
      <c r="D121" s="16" t="s">
        <v>76</v>
      </c>
      <c r="E121" s="16">
        <v>0</v>
      </c>
      <c r="F121" s="21" t="s">
        <v>199</v>
      </c>
      <c r="G121" s="16" t="s">
        <v>195</v>
      </c>
      <c r="H121" s="23" t="s">
        <v>306</v>
      </c>
      <c r="I121" s="23">
        <v>4</v>
      </c>
      <c r="J121" s="23">
        <v>0</v>
      </c>
      <c r="K121" s="23">
        <v>1</v>
      </c>
      <c r="L121" s="23">
        <v>0</v>
      </c>
      <c r="M121" s="78">
        <v>65535</v>
      </c>
      <c r="N121" s="23">
        <v>0</v>
      </c>
      <c r="O121" s="23" t="s">
        <v>80</v>
      </c>
      <c r="P121" s="16" t="s">
        <v>81</v>
      </c>
      <c r="Q121" s="16"/>
      <c r="R121" s="16"/>
      <c r="S121" s="83" t="s">
        <v>135</v>
      </c>
      <c r="T121" s="30" t="s">
        <v>196</v>
      </c>
      <c r="U121" s="35"/>
    </row>
    <row r="122" spans="1:21" ht="48">
      <c r="A122" s="23">
        <f t="shared" si="5"/>
        <v>110</v>
      </c>
      <c r="B122" s="23" t="s">
        <v>487</v>
      </c>
      <c r="C122" s="35" t="s">
        <v>488</v>
      </c>
      <c r="D122" s="16" t="s">
        <v>76</v>
      </c>
      <c r="E122" s="16">
        <v>0</v>
      </c>
      <c r="F122" s="21" t="s">
        <v>199</v>
      </c>
      <c r="G122" s="16" t="s">
        <v>195</v>
      </c>
      <c r="H122" s="23" t="s">
        <v>306</v>
      </c>
      <c r="I122" s="23">
        <v>4</v>
      </c>
      <c r="J122" s="23">
        <v>0</v>
      </c>
      <c r="K122" s="23">
        <v>1</v>
      </c>
      <c r="L122" s="23">
        <v>0</v>
      </c>
      <c r="M122" s="78">
        <v>65535</v>
      </c>
      <c r="N122" s="23">
        <v>0</v>
      </c>
      <c r="O122" s="23" t="s">
        <v>80</v>
      </c>
      <c r="P122" s="16" t="s">
        <v>81</v>
      </c>
      <c r="Q122" s="16"/>
      <c r="R122" s="16"/>
      <c r="S122" s="83" t="s">
        <v>135</v>
      </c>
      <c r="T122" s="30" t="s">
        <v>196</v>
      </c>
      <c r="U122" s="35"/>
    </row>
    <row r="123" spans="1:21" ht="48">
      <c r="A123" s="23">
        <f t="shared" si="5"/>
        <v>111</v>
      </c>
      <c r="B123" s="23" t="s">
        <v>489</v>
      </c>
      <c r="C123" s="35" t="s">
        <v>490</v>
      </c>
      <c r="D123" s="16" t="s">
        <v>76</v>
      </c>
      <c r="E123" s="16">
        <v>0</v>
      </c>
      <c r="F123" s="21" t="s">
        <v>199</v>
      </c>
      <c r="G123" s="16" t="s">
        <v>195</v>
      </c>
      <c r="H123" s="23" t="s">
        <v>306</v>
      </c>
      <c r="I123" s="23">
        <v>4</v>
      </c>
      <c r="J123" s="23">
        <v>0</v>
      </c>
      <c r="K123" s="23">
        <v>1</v>
      </c>
      <c r="L123" s="23">
        <v>0</v>
      </c>
      <c r="M123" s="78">
        <v>65535</v>
      </c>
      <c r="N123" s="23">
        <v>0</v>
      </c>
      <c r="O123" s="23" t="s">
        <v>80</v>
      </c>
      <c r="P123" s="16" t="s">
        <v>81</v>
      </c>
      <c r="Q123" s="16"/>
      <c r="R123" s="16"/>
      <c r="S123" s="83" t="s">
        <v>135</v>
      </c>
      <c r="T123" s="30" t="s">
        <v>196</v>
      </c>
      <c r="U123" s="35"/>
    </row>
    <row r="124" spans="1:21" ht="48">
      <c r="A124" s="23">
        <f t="shared" si="5"/>
        <v>112</v>
      </c>
      <c r="B124" s="23" t="s">
        <v>491</v>
      </c>
      <c r="C124" s="35" t="s">
        <v>492</v>
      </c>
      <c r="D124" s="16" t="s">
        <v>76</v>
      </c>
      <c r="E124" s="16">
        <v>0</v>
      </c>
      <c r="F124" s="21" t="s">
        <v>199</v>
      </c>
      <c r="G124" s="16" t="s">
        <v>195</v>
      </c>
      <c r="H124" s="16" t="s">
        <v>79</v>
      </c>
      <c r="I124" s="23">
        <v>1</v>
      </c>
      <c r="J124" s="23">
        <v>0</v>
      </c>
      <c r="K124" s="23">
        <v>1</v>
      </c>
      <c r="L124" s="23">
        <v>0</v>
      </c>
      <c r="M124" s="23">
        <v>1</v>
      </c>
      <c r="N124" s="23">
        <v>0</v>
      </c>
      <c r="O124" s="23" t="s">
        <v>80</v>
      </c>
      <c r="P124" s="16" t="s">
        <v>81</v>
      </c>
      <c r="Q124" s="16"/>
      <c r="R124" s="16"/>
      <c r="S124" s="83" t="s">
        <v>135</v>
      </c>
      <c r="T124" s="30" t="s">
        <v>196</v>
      </c>
      <c r="U124" s="35"/>
    </row>
    <row r="125" spans="1:21" ht="48">
      <c r="A125" s="23">
        <f t="shared" si="5"/>
        <v>113</v>
      </c>
      <c r="B125" s="23" t="s">
        <v>493</v>
      </c>
      <c r="C125" s="35" t="s">
        <v>494</v>
      </c>
      <c r="D125" s="16" t="s">
        <v>76</v>
      </c>
      <c r="E125" s="16">
        <v>0</v>
      </c>
      <c r="F125" s="21" t="s">
        <v>199</v>
      </c>
      <c r="G125" s="16" t="s">
        <v>195</v>
      </c>
      <c r="H125" s="16" t="s">
        <v>79</v>
      </c>
      <c r="I125" s="23">
        <v>1</v>
      </c>
      <c r="J125" s="23">
        <v>0</v>
      </c>
      <c r="K125" s="23">
        <v>1</v>
      </c>
      <c r="L125" s="23">
        <v>0</v>
      </c>
      <c r="M125" s="23">
        <v>1</v>
      </c>
      <c r="N125" s="23">
        <v>0</v>
      </c>
      <c r="O125" s="23" t="s">
        <v>80</v>
      </c>
      <c r="P125" s="16" t="s">
        <v>81</v>
      </c>
      <c r="Q125" s="16"/>
      <c r="R125" s="16"/>
      <c r="S125" s="83" t="s">
        <v>135</v>
      </c>
      <c r="T125" s="30" t="s">
        <v>196</v>
      </c>
      <c r="U125" s="35"/>
    </row>
    <row r="126" spans="1:21" ht="48">
      <c r="A126" s="23">
        <f t="shared" si="5"/>
        <v>114</v>
      </c>
      <c r="B126" s="23" t="s">
        <v>495</v>
      </c>
      <c r="C126" s="35" t="s">
        <v>496</v>
      </c>
      <c r="D126" s="16" t="s">
        <v>76</v>
      </c>
      <c r="E126" s="16">
        <v>0</v>
      </c>
      <c r="F126" s="21" t="s">
        <v>199</v>
      </c>
      <c r="G126" s="16" t="s">
        <v>195</v>
      </c>
      <c r="H126" s="16" t="s">
        <v>79</v>
      </c>
      <c r="I126" s="23">
        <v>1</v>
      </c>
      <c r="J126" s="23">
        <v>0</v>
      </c>
      <c r="K126" s="23">
        <v>1</v>
      </c>
      <c r="L126" s="23">
        <v>0</v>
      </c>
      <c r="M126" s="23">
        <v>1</v>
      </c>
      <c r="N126" s="23">
        <v>0</v>
      </c>
      <c r="O126" s="23" t="s">
        <v>80</v>
      </c>
      <c r="P126" s="16" t="s">
        <v>81</v>
      </c>
      <c r="Q126" s="16"/>
      <c r="R126" s="16"/>
      <c r="S126" s="83" t="s">
        <v>135</v>
      </c>
      <c r="T126" s="30" t="s">
        <v>196</v>
      </c>
      <c r="U126" s="35"/>
    </row>
    <row r="127" spans="1:21" ht="48">
      <c r="A127" s="23">
        <f t="shared" si="5"/>
        <v>115</v>
      </c>
      <c r="B127" s="23" t="s">
        <v>497</v>
      </c>
      <c r="C127" s="35" t="s">
        <v>498</v>
      </c>
      <c r="D127" s="16" t="s">
        <v>76</v>
      </c>
      <c r="E127" s="16">
        <v>0</v>
      </c>
      <c r="F127" s="21" t="s">
        <v>199</v>
      </c>
      <c r="G127" s="16" t="s">
        <v>195</v>
      </c>
      <c r="H127" s="16" t="s">
        <v>79</v>
      </c>
      <c r="I127" s="23">
        <v>1</v>
      </c>
      <c r="J127" s="23">
        <v>0</v>
      </c>
      <c r="K127" s="23">
        <v>1</v>
      </c>
      <c r="L127" s="23">
        <v>0</v>
      </c>
      <c r="M127" s="23">
        <v>1</v>
      </c>
      <c r="N127" s="23">
        <v>0</v>
      </c>
      <c r="O127" s="23" t="s">
        <v>80</v>
      </c>
      <c r="P127" s="16" t="s">
        <v>81</v>
      </c>
      <c r="Q127" s="16"/>
      <c r="R127" s="16"/>
      <c r="S127" s="83" t="s">
        <v>135</v>
      </c>
      <c r="T127" s="30" t="s">
        <v>196</v>
      </c>
      <c r="U127" s="35"/>
    </row>
    <row r="128" spans="1:21" ht="51">
      <c r="A128" s="23">
        <f t="shared" si="5"/>
        <v>116</v>
      </c>
      <c r="B128" s="23" t="s">
        <v>499</v>
      </c>
      <c r="C128" s="35" t="s">
        <v>500</v>
      </c>
      <c r="D128" s="16" t="s">
        <v>76</v>
      </c>
      <c r="E128" s="16">
        <v>0</v>
      </c>
      <c r="F128" s="21" t="s">
        <v>199</v>
      </c>
      <c r="G128" s="16" t="s">
        <v>195</v>
      </c>
      <c r="H128" s="16" t="s">
        <v>79</v>
      </c>
      <c r="I128" s="23">
        <v>1</v>
      </c>
      <c r="J128" s="23">
        <v>0</v>
      </c>
      <c r="K128" s="23">
        <v>1</v>
      </c>
      <c r="L128" s="23">
        <v>0</v>
      </c>
      <c r="M128" s="23">
        <v>2</v>
      </c>
      <c r="N128" s="23">
        <v>0</v>
      </c>
      <c r="O128" s="23" t="s">
        <v>80</v>
      </c>
      <c r="P128" s="16" t="s">
        <v>81</v>
      </c>
      <c r="Q128" s="16"/>
      <c r="R128" s="16"/>
      <c r="S128" s="83" t="s">
        <v>135</v>
      </c>
      <c r="T128" s="30" t="s">
        <v>196</v>
      </c>
      <c r="U128" s="35" t="s">
        <v>501</v>
      </c>
    </row>
    <row r="129" spans="1:21" s="10" customFormat="1" ht="48">
      <c r="A129" s="78">
        <f t="shared" si="5"/>
        <v>117</v>
      </c>
      <c r="B129" s="78" t="s">
        <v>502</v>
      </c>
      <c r="C129" s="63" t="s">
        <v>503</v>
      </c>
      <c r="D129" s="58" t="s">
        <v>76</v>
      </c>
      <c r="E129" s="58">
        <v>0</v>
      </c>
      <c r="F129" s="81" t="s">
        <v>199</v>
      </c>
      <c r="G129" s="58" t="s">
        <v>195</v>
      </c>
      <c r="H129" s="78" t="s">
        <v>210</v>
      </c>
      <c r="I129" s="78">
        <v>12</v>
      </c>
      <c r="J129" s="78">
        <v>-3.1415999999999999</v>
      </c>
      <c r="K129" s="78">
        <v>1E-4</v>
      </c>
      <c r="L129" s="78">
        <v>-3.1415999999999999</v>
      </c>
      <c r="M129" s="78">
        <v>3.1415999999999999</v>
      </c>
      <c r="N129" s="23">
        <v>0</v>
      </c>
      <c r="O129" s="23" t="s">
        <v>80</v>
      </c>
      <c r="P129" s="16" t="s">
        <v>81</v>
      </c>
      <c r="Q129" s="16"/>
      <c r="R129" s="16"/>
      <c r="S129" s="83" t="s">
        <v>135</v>
      </c>
      <c r="T129" s="30" t="s">
        <v>196</v>
      </c>
      <c r="U129" s="35"/>
    </row>
    <row r="130" spans="1:21" s="10" customFormat="1" ht="48">
      <c r="A130" s="78">
        <f t="shared" si="5"/>
        <v>118</v>
      </c>
      <c r="B130" s="78" t="s">
        <v>504</v>
      </c>
      <c r="C130" s="63" t="s">
        <v>505</v>
      </c>
      <c r="D130" s="58" t="s">
        <v>76</v>
      </c>
      <c r="E130" s="58">
        <v>0</v>
      </c>
      <c r="F130" s="81" t="s">
        <v>199</v>
      </c>
      <c r="G130" s="58" t="s">
        <v>195</v>
      </c>
      <c r="H130" s="78" t="s">
        <v>210</v>
      </c>
      <c r="I130" s="78">
        <v>12</v>
      </c>
      <c r="J130" s="78">
        <v>-3.1415999999999999</v>
      </c>
      <c r="K130" s="78">
        <v>1E-4</v>
      </c>
      <c r="L130" s="78">
        <v>-3.1415999999999999</v>
      </c>
      <c r="M130" s="78">
        <v>3.1415999999999999</v>
      </c>
      <c r="N130" s="23">
        <v>0</v>
      </c>
      <c r="O130" s="23" t="s">
        <v>80</v>
      </c>
      <c r="P130" s="16" t="s">
        <v>81</v>
      </c>
      <c r="Q130" s="16"/>
      <c r="R130" s="16"/>
      <c r="S130" s="83" t="s">
        <v>135</v>
      </c>
      <c r="T130" s="30" t="s">
        <v>196</v>
      </c>
      <c r="U130" s="35"/>
    </row>
    <row r="131" spans="1:21" s="10" customFormat="1" ht="48">
      <c r="A131" s="78">
        <f t="shared" si="5"/>
        <v>119</v>
      </c>
      <c r="B131" s="78" t="s">
        <v>506</v>
      </c>
      <c r="C131" s="63" t="s">
        <v>507</v>
      </c>
      <c r="D131" s="58" t="s">
        <v>76</v>
      </c>
      <c r="E131" s="58">
        <v>0</v>
      </c>
      <c r="F131" s="81" t="s">
        <v>199</v>
      </c>
      <c r="G131" s="58" t="s">
        <v>195</v>
      </c>
      <c r="H131" s="78" t="s">
        <v>210</v>
      </c>
      <c r="I131" s="78">
        <v>2</v>
      </c>
      <c r="J131" s="78">
        <v>0</v>
      </c>
      <c r="K131" s="78">
        <v>0.01</v>
      </c>
      <c r="L131" s="78">
        <v>0</v>
      </c>
      <c r="M131" s="78">
        <v>100</v>
      </c>
      <c r="N131" s="23">
        <v>40</v>
      </c>
      <c r="O131" s="23" t="s">
        <v>303</v>
      </c>
      <c r="P131" s="16" t="s">
        <v>81</v>
      </c>
      <c r="Q131" s="16"/>
      <c r="R131" s="16"/>
      <c r="S131" s="83" t="s">
        <v>135</v>
      </c>
      <c r="T131" s="30" t="s">
        <v>196</v>
      </c>
      <c r="U131" s="35"/>
    </row>
    <row r="132" spans="1:21" s="10" customFormat="1" ht="48">
      <c r="A132" s="78">
        <f t="shared" si="5"/>
        <v>120</v>
      </c>
      <c r="B132" s="78" t="s">
        <v>508</v>
      </c>
      <c r="C132" s="63" t="s">
        <v>509</v>
      </c>
      <c r="D132" s="58" t="s">
        <v>76</v>
      </c>
      <c r="E132" s="58">
        <v>0</v>
      </c>
      <c r="F132" s="81" t="s">
        <v>199</v>
      </c>
      <c r="G132" s="58" t="s">
        <v>195</v>
      </c>
      <c r="H132" s="58" t="s">
        <v>79</v>
      </c>
      <c r="I132" s="78">
        <v>2</v>
      </c>
      <c r="J132" s="78">
        <v>0</v>
      </c>
      <c r="K132" s="78">
        <v>1</v>
      </c>
      <c r="L132" s="78">
        <v>10</v>
      </c>
      <c r="M132" s="78">
        <v>2000</v>
      </c>
      <c r="N132" s="78">
        <v>1</v>
      </c>
      <c r="O132" s="78" t="s">
        <v>510</v>
      </c>
      <c r="P132" s="58" t="s">
        <v>81</v>
      </c>
      <c r="Q132" s="58"/>
      <c r="R132" s="58"/>
      <c r="S132" s="84" t="s">
        <v>135</v>
      </c>
      <c r="T132" s="85" t="s">
        <v>196</v>
      </c>
      <c r="U132" s="63"/>
    </row>
    <row r="133" spans="1:21" s="10" customFormat="1" ht="48">
      <c r="A133" s="78">
        <f t="shared" si="5"/>
        <v>121</v>
      </c>
      <c r="B133" s="78" t="s">
        <v>511</v>
      </c>
      <c r="C133" s="63" t="s">
        <v>512</v>
      </c>
      <c r="D133" s="58" t="s">
        <v>76</v>
      </c>
      <c r="E133" s="58">
        <v>0</v>
      </c>
      <c r="F133" s="81" t="s">
        <v>199</v>
      </c>
      <c r="G133" s="58" t="s">
        <v>195</v>
      </c>
      <c r="H133" s="58" t="s">
        <v>79</v>
      </c>
      <c r="I133" s="78">
        <v>1</v>
      </c>
      <c r="J133" s="78">
        <v>0</v>
      </c>
      <c r="K133" s="78">
        <v>1</v>
      </c>
      <c r="L133" s="78">
        <v>0</v>
      </c>
      <c r="M133" s="78">
        <v>1</v>
      </c>
      <c r="N133" s="23">
        <v>0</v>
      </c>
      <c r="O133" s="23" t="s">
        <v>80</v>
      </c>
      <c r="P133" s="16" t="s">
        <v>81</v>
      </c>
      <c r="Q133" s="16"/>
      <c r="R133" s="16"/>
      <c r="S133" s="83" t="s">
        <v>135</v>
      </c>
      <c r="T133" s="30" t="s">
        <v>196</v>
      </c>
      <c r="U133" s="35" t="s">
        <v>513</v>
      </c>
    </row>
    <row r="134" spans="1:21" ht="48">
      <c r="A134" s="78">
        <f t="shared" si="5"/>
        <v>122</v>
      </c>
      <c r="B134" s="78" t="s">
        <v>514</v>
      </c>
      <c r="C134" s="63" t="s">
        <v>515</v>
      </c>
      <c r="D134" s="58" t="s">
        <v>76</v>
      </c>
      <c r="E134" s="58">
        <v>0</v>
      </c>
      <c r="F134" s="81" t="s">
        <v>199</v>
      </c>
      <c r="G134" s="58" t="s">
        <v>195</v>
      </c>
      <c r="H134" s="78" t="s">
        <v>210</v>
      </c>
      <c r="I134" s="78">
        <v>2</v>
      </c>
      <c r="J134" s="78">
        <v>0</v>
      </c>
      <c r="K134" s="78">
        <v>1</v>
      </c>
      <c r="L134" s="78">
        <v>0</v>
      </c>
      <c r="M134" s="78">
        <v>65000</v>
      </c>
      <c r="N134" s="23">
        <v>250</v>
      </c>
      <c r="O134" s="23" t="s">
        <v>243</v>
      </c>
      <c r="P134" s="16" t="s">
        <v>81</v>
      </c>
      <c r="Q134" s="16"/>
      <c r="R134" s="16"/>
      <c r="S134" s="83" t="s">
        <v>135</v>
      </c>
      <c r="T134" s="30" t="s">
        <v>196</v>
      </c>
      <c r="U134" s="35"/>
    </row>
    <row r="135" spans="1:21" s="10" customFormat="1" ht="48">
      <c r="A135" s="78">
        <f t="shared" si="5"/>
        <v>123</v>
      </c>
      <c r="B135" s="78" t="s">
        <v>516</v>
      </c>
      <c r="C135" s="63" t="s">
        <v>517</v>
      </c>
      <c r="D135" s="58" t="s">
        <v>76</v>
      </c>
      <c r="E135" s="58">
        <v>0</v>
      </c>
      <c r="F135" s="81" t="s">
        <v>199</v>
      </c>
      <c r="G135" s="58" t="s">
        <v>195</v>
      </c>
      <c r="H135" s="78" t="s">
        <v>518</v>
      </c>
      <c r="I135" s="78">
        <v>4</v>
      </c>
      <c r="J135" s="78">
        <v>0</v>
      </c>
      <c r="K135" s="78">
        <v>1.0000000000000001E-5</v>
      </c>
      <c r="L135" s="78">
        <v>0</v>
      </c>
      <c r="M135" s="78">
        <v>100</v>
      </c>
      <c r="N135" s="23">
        <v>5</v>
      </c>
      <c r="O135" s="23" t="s">
        <v>80</v>
      </c>
      <c r="P135" s="16" t="s">
        <v>81</v>
      </c>
      <c r="Q135" s="16"/>
      <c r="R135" s="16"/>
      <c r="S135" s="83" t="s">
        <v>135</v>
      </c>
      <c r="T135" s="30" t="s">
        <v>196</v>
      </c>
      <c r="U135" s="35"/>
    </row>
    <row r="136" spans="1:21" ht="48">
      <c r="A136" s="78">
        <f t="shared" si="5"/>
        <v>124</v>
      </c>
      <c r="B136" s="78" t="s">
        <v>519</v>
      </c>
      <c r="C136" s="63" t="s">
        <v>520</v>
      </c>
      <c r="D136" s="58" t="s">
        <v>76</v>
      </c>
      <c r="E136" s="58">
        <v>0</v>
      </c>
      <c r="F136" s="81" t="s">
        <v>199</v>
      </c>
      <c r="G136" s="58" t="s">
        <v>195</v>
      </c>
      <c r="H136" s="58" t="s">
        <v>79</v>
      </c>
      <c r="I136" s="78">
        <v>1</v>
      </c>
      <c r="J136" s="78">
        <v>0</v>
      </c>
      <c r="K136" s="78">
        <v>1</v>
      </c>
      <c r="L136" s="78">
        <v>0</v>
      </c>
      <c r="M136" s="78">
        <v>1</v>
      </c>
      <c r="N136" s="23">
        <v>0</v>
      </c>
      <c r="O136" s="23" t="s">
        <v>80</v>
      </c>
      <c r="P136" s="16" t="s">
        <v>81</v>
      </c>
      <c r="Q136" s="16"/>
      <c r="R136" s="16"/>
      <c r="S136" s="83" t="s">
        <v>83</v>
      </c>
      <c r="T136" s="30" t="s">
        <v>84</v>
      </c>
      <c r="U136" s="35" t="s">
        <v>521</v>
      </c>
    </row>
    <row r="137" spans="1:21" ht="48">
      <c r="A137" s="23">
        <f t="shared" si="5"/>
        <v>125</v>
      </c>
      <c r="B137" s="23" t="s">
        <v>522</v>
      </c>
      <c r="C137" s="35" t="s">
        <v>523</v>
      </c>
      <c r="D137" s="16" t="s">
        <v>76</v>
      </c>
      <c r="E137" s="16">
        <v>0</v>
      </c>
      <c r="F137" s="21" t="s">
        <v>199</v>
      </c>
      <c r="G137" s="16" t="s">
        <v>195</v>
      </c>
      <c r="H137" s="16" t="s">
        <v>79</v>
      </c>
      <c r="I137" s="23">
        <v>1</v>
      </c>
      <c r="J137" s="23">
        <v>0</v>
      </c>
      <c r="K137" s="23">
        <v>1</v>
      </c>
      <c r="L137" s="23">
        <v>0</v>
      </c>
      <c r="M137" s="23">
        <v>1</v>
      </c>
      <c r="N137" s="23">
        <v>0</v>
      </c>
      <c r="O137" s="23" t="s">
        <v>80</v>
      </c>
      <c r="P137" s="16" t="s">
        <v>81</v>
      </c>
      <c r="Q137" s="16"/>
      <c r="R137" s="16"/>
      <c r="S137" s="83" t="s">
        <v>83</v>
      </c>
      <c r="T137" s="30" t="s">
        <v>84</v>
      </c>
      <c r="U137" s="35"/>
    </row>
    <row r="138" spans="1:21" ht="48">
      <c r="A138" s="23">
        <f t="shared" si="5"/>
        <v>126</v>
      </c>
      <c r="B138" s="23" t="s">
        <v>524</v>
      </c>
      <c r="C138" s="35" t="s">
        <v>525</v>
      </c>
      <c r="D138" s="16" t="s">
        <v>76</v>
      </c>
      <c r="E138" s="16">
        <v>0</v>
      </c>
      <c r="F138" s="21" t="s">
        <v>199</v>
      </c>
      <c r="G138" s="16" t="s">
        <v>195</v>
      </c>
      <c r="H138" s="16" t="s">
        <v>79</v>
      </c>
      <c r="I138" s="23">
        <v>1</v>
      </c>
      <c r="J138" s="23">
        <v>0</v>
      </c>
      <c r="K138" s="23">
        <v>1</v>
      </c>
      <c r="L138" s="23">
        <v>0</v>
      </c>
      <c r="M138" s="23">
        <v>1</v>
      </c>
      <c r="N138" s="23">
        <v>0</v>
      </c>
      <c r="O138" s="23" t="s">
        <v>80</v>
      </c>
      <c r="P138" s="16" t="s">
        <v>81</v>
      </c>
      <c r="Q138" s="16"/>
      <c r="R138" s="16"/>
      <c r="S138" s="83" t="s">
        <v>83</v>
      </c>
      <c r="T138" s="30" t="s">
        <v>84</v>
      </c>
      <c r="U138" s="35"/>
    </row>
    <row r="139" spans="1:21" ht="48">
      <c r="A139" s="23">
        <f t="shared" si="5"/>
        <v>127</v>
      </c>
      <c r="B139" s="23" t="s">
        <v>526</v>
      </c>
      <c r="C139" s="35" t="s">
        <v>527</v>
      </c>
      <c r="D139" s="16" t="s">
        <v>76</v>
      </c>
      <c r="E139" s="16">
        <v>0</v>
      </c>
      <c r="F139" s="21" t="s">
        <v>199</v>
      </c>
      <c r="G139" s="16" t="s">
        <v>195</v>
      </c>
      <c r="H139" s="16" t="s">
        <v>79</v>
      </c>
      <c r="I139" s="23">
        <v>1</v>
      </c>
      <c r="J139" s="23">
        <v>0</v>
      </c>
      <c r="K139" s="23">
        <v>1</v>
      </c>
      <c r="L139" s="23">
        <v>0</v>
      </c>
      <c r="M139" s="23">
        <v>1</v>
      </c>
      <c r="N139" s="23">
        <v>0</v>
      </c>
      <c r="O139" s="23" t="s">
        <v>80</v>
      </c>
      <c r="P139" s="16" t="s">
        <v>81</v>
      </c>
      <c r="Q139" s="16"/>
      <c r="R139" s="16"/>
      <c r="S139" s="83" t="s">
        <v>83</v>
      </c>
      <c r="T139" s="30" t="s">
        <v>84</v>
      </c>
      <c r="U139" s="35" t="s">
        <v>528</v>
      </c>
    </row>
    <row r="140" spans="1:21" ht="48">
      <c r="A140" s="23">
        <f t="shared" si="5"/>
        <v>128</v>
      </c>
      <c r="B140" s="23" t="s">
        <v>529</v>
      </c>
      <c r="C140" s="35" t="s">
        <v>530</v>
      </c>
      <c r="D140" s="16" t="s">
        <v>76</v>
      </c>
      <c r="E140" s="16">
        <v>0</v>
      </c>
      <c r="F140" s="21" t="s">
        <v>199</v>
      </c>
      <c r="G140" s="16" t="s">
        <v>195</v>
      </c>
      <c r="H140" s="23" t="s">
        <v>531</v>
      </c>
      <c r="I140" s="23">
        <v>4</v>
      </c>
      <c r="J140" s="23">
        <v>0</v>
      </c>
      <c r="K140" s="23">
        <v>1E-3</v>
      </c>
      <c r="L140" s="23">
        <v>-100</v>
      </c>
      <c r="M140" s="23">
        <v>100</v>
      </c>
      <c r="N140" s="23">
        <v>0</v>
      </c>
      <c r="O140" s="23" t="s">
        <v>303</v>
      </c>
      <c r="P140" s="16" t="s">
        <v>81</v>
      </c>
      <c r="Q140" s="16"/>
      <c r="R140" s="16"/>
      <c r="S140" s="30" t="s">
        <v>83</v>
      </c>
      <c r="T140" s="30" t="s">
        <v>84</v>
      </c>
      <c r="U140" s="35"/>
    </row>
    <row r="141" spans="1:21" ht="48">
      <c r="A141" s="23">
        <f t="shared" si="5"/>
        <v>129</v>
      </c>
      <c r="B141" s="23" t="s">
        <v>532</v>
      </c>
      <c r="C141" s="35" t="s">
        <v>533</v>
      </c>
      <c r="D141" s="16" t="s">
        <v>76</v>
      </c>
      <c r="E141" s="16">
        <v>0</v>
      </c>
      <c r="F141" s="21" t="s">
        <v>199</v>
      </c>
      <c r="G141" s="16" t="s">
        <v>195</v>
      </c>
      <c r="H141" s="23" t="s">
        <v>534</v>
      </c>
      <c r="I141" s="23">
        <v>2</v>
      </c>
      <c r="J141" s="23">
        <v>0</v>
      </c>
      <c r="K141" s="23">
        <v>1</v>
      </c>
      <c r="L141" s="23">
        <v>-30000</v>
      </c>
      <c r="M141" s="23">
        <v>30000</v>
      </c>
      <c r="N141" s="23">
        <v>0</v>
      </c>
      <c r="O141" s="23" t="s">
        <v>387</v>
      </c>
      <c r="P141" s="16" t="s">
        <v>81</v>
      </c>
      <c r="Q141" s="16"/>
      <c r="R141" s="16"/>
      <c r="S141" s="83" t="s">
        <v>83</v>
      </c>
      <c r="T141" s="30" t="s">
        <v>84</v>
      </c>
      <c r="U141" s="35"/>
    </row>
    <row r="142" spans="1:21" ht="48">
      <c r="A142" s="23">
        <f t="shared" si="5"/>
        <v>130</v>
      </c>
      <c r="B142" s="23" t="s">
        <v>535</v>
      </c>
      <c r="C142" s="35" t="s">
        <v>536</v>
      </c>
      <c r="D142" s="16" t="s">
        <v>76</v>
      </c>
      <c r="E142" s="16">
        <v>0</v>
      </c>
      <c r="F142" s="21" t="s">
        <v>199</v>
      </c>
      <c r="G142" s="16" t="s">
        <v>195</v>
      </c>
      <c r="H142" s="23" t="s">
        <v>79</v>
      </c>
      <c r="I142" s="23">
        <v>1</v>
      </c>
      <c r="J142" s="23">
        <v>0</v>
      </c>
      <c r="K142" s="23">
        <v>1</v>
      </c>
      <c r="L142" s="23">
        <v>0</v>
      </c>
      <c r="M142" s="23">
        <v>250</v>
      </c>
      <c r="N142" s="23">
        <v>1000</v>
      </c>
      <c r="O142" s="23" t="s">
        <v>537</v>
      </c>
      <c r="P142" s="16" t="s">
        <v>81</v>
      </c>
      <c r="Q142" s="16"/>
      <c r="R142" s="16"/>
      <c r="S142" s="83" t="s">
        <v>135</v>
      </c>
      <c r="T142" s="30" t="s">
        <v>196</v>
      </c>
      <c r="U142" s="35"/>
    </row>
    <row r="143" spans="1:21" ht="48">
      <c r="A143" s="23">
        <f t="shared" si="5"/>
        <v>131</v>
      </c>
      <c r="B143" s="23" t="s">
        <v>538</v>
      </c>
      <c r="C143" s="35" t="s">
        <v>539</v>
      </c>
      <c r="D143" s="16" t="s">
        <v>76</v>
      </c>
      <c r="E143" s="16">
        <v>0</v>
      </c>
      <c r="F143" s="21" t="s">
        <v>199</v>
      </c>
      <c r="G143" s="16" t="s">
        <v>195</v>
      </c>
      <c r="H143" s="16" t="s">
        <v>79</v>
      </c>
      <c r="I143" s="23">
        <v>1</v>
      </c>
      <c r="J143" s="23">
        <v>0</v>
      </c>
      <c r="K143" s="23">
        <v>1</v>
      </c>
      <c r="L143" s="23">
        <v>0</v>
      </c>
      <c r="M143" s="23">
        <v>1</v>
      </c>
      <c r="N143" s="23">
        <v>0</v>
      </c>
      <c r="O143" s="23" t="s">
        <v>80</v>
      </c>
      <c r="P143" s="16" t="s">
        <v>81</v>
      </c>
      <c r="Q143" s="16"/>
      <c r="R143" s="16"/>
      <c r="S143" s="83" t="s">
        <v>83</v>
      </c>
      <c r="T143" s="30" t="s">
        <v>84</v>
      </c>
      <c r="U143" s="35" t="s">
        <v>540</v>
      </c>
    </row>
    <row r="144" spans="1:21" ht="48">
      <c r="A144" s="23">
        <f t="shared" si="5"/>
        <v>132</v>
      </c>
      <c r="B144" s="23" t="s">
        <v>541</v>
      </c>
      <c r="C144" s="35" t="s">
        <v>542</v>
      </c>
      <c r="D144" s="16" t="s">
        <v>76</v>
      </c>
      <c r="E144" s="16">
        <v>0</v>
      </c>
      <c r="F144" s="21" t="s">
        <v>199</v>
      </c>
      <c r="G144" s="16" t="s">
        <v>195</v>
      </c>
      <c r="H144" s="16" t="s">
        <v>79</v>
      </c>
      <c r="I144" s="23">
        <v>1</v>
      </c>
      <c r="J144" s="23">
        <v>0</v>
      </c>
      <c r="K144" s="23">
        <v>1</v>
      </c>
      <c r="L144" s="23">
        <v>0</v>
      </c>
      <c r="M144" s="23">
        <v>1</v>
      </c>
      <c r="N144" s="23">
        <v>0</v>
      </c>
      <c r="O144" s="23" t="s">
        <v>80</v>
      </c>
      <c r="P144" s="16" t="s">
        <v>119</v>
      </c>
      <c r="Q144" s="16"/>
      <c r="R144" s="16"/>
      <c r="S144" s="83" t="s">
        <v>83</v>
      </c>
      <c r="T144" s="30" t="s">
        <v>84</v>
      </c>
      <c r="U144" s="35" t="s">
        <v>543</v>
      </c>
    </row>
    <row r="145" spans="1:21" ht="48">
      <c r="A145" s="23">
        <f t="shared" si="5"/>
        <v>133</v>
      </c>
      <c r="B145" s="23" t="s">
        <v>544</v>
      </c>
      <c r="C145" s="35" t="s">
        <v>545</v>
      </c>
      <c r="D145" s="16" t="s">
        <v>76</v>
      </c>
      <c r="E145" s="16">
        <v>0</v>
      </c>
      <c r="F145" s="21" t="s">
        <v>199</v>
      </c>
      <c r="G145" s="16" t="s">
        <v>195</v>
      </c>
      <c r="H145" s="23" t="s">
        <v>210</v>
      </c>
      <c r="I145" s="23">
        <v>2</v>
      </c>
      <c r="J145" s="23">
        <v>0</v>
      </c>
      <c r="K145" s="23">
        <v>1</v>
      </c>
      <c r="L145" s="23">
        <v>0</v>
      </c>
      <c r="M145" s="23">
        <v>1000</v>
      </c>
      <c r="N145" s="23">
        <v>0</v>
      </c>
      <c r="O145" s="23" t="s">
        <v>387</v>
      </c>
      <c r="P145" s="23" t="s">
        <v>119</v>
      </c>
      <c r="Q145" s="23"/>
      <c r="R145" s="23"/>
      <c r="S145" s="83" t="s">
        <v>83</v>
      </c>
      <c r="T145" s="30" t="s">
        <v>84</v>
      </c>
      <c r="U145" s="35"/>
    </row>
    <row r="146" spans="1:21" ht="48">
      <c r="A146" s="23">
        <f t="shared" si="5"/>
        <v>134</v>
      </c>
      <c r="B146" s="23" t="s">
        <v>546</v>
      </c>
      <c r="C146" s="35" t="s">
        <v>547</v>
      </c>
      <c r="D146" s="16" t="s">
        <v>76</v>
      </c>
      <c r="E146" s="16">
        <v>0</v>
      </c>
      <c r="F146" s="21" t="s">
        <v>199</v>
      </c>
      <c r="G146" s="16" t="s">
        <v>195</v>
      </c>
      <c r="H146" s="23" t="s">
        <v>210</v>
      </c>
      <c r="I146" s="23">
        <v>2</v>
      </c>
      <c r="J146" s="23">
        <v>0</v>
      </c>
      <c r="K146" s="23">
        <v>1</v>
      </c>
      <c r="L146" s="23">
        <v>0</v>
      </c>
      <c r="M146" s="23">
        <v>10000</v>
      </c>
      <c r="N146" s="23">
        <v>0</v>
      </c>
      <c r="O146" s="23" t="s">
        <v>387</v>
      </c>
      <c r="P146" s="23" t="s">
        <v>119</v>
      </c>
      <c r="Q146" s="23"/>
      <c r="R146" s="23"/>
      <c r="S146" s="83" t="s">
        <v>83</v>
      </c>
      <c r="T146" s="30" t="s">
        <v>84</v>
      </c>
      <c r="U146" s="35"/>
    </row>
    <row r="147" spans="1:21" ht="48">
      <c r="A147" s="23">
        <f t="shared" si="5"/>
        <v>135</v>
      </c>
      <c r="B147" s="23" t="s">
        <v>548</v>
      </c>
      <c r="C147" s="35" t="s">
        <v>549</v>
      </c>
      <c r="D147" s="16" t="s">
        <v>76</v>
      </c>
      <c r="E147" s="16">
        <v>0</v>
      </c>
      <c r="F147" s="21" t="s">
        <v>199</v>
      </c>
      <c r="G147" s="16" t="s">
        <v>195</v>
      </c>
      <c r="H147" s="23" t="s">
        <v>531</v>
      </c>
      <c r="I147" s="23">
        <v>4</v>
      </c>
      <c r="J147" s="23">
        <v>0</v>
      </c>
      <c r="K147" s="23">
        <v>1E-3</v>
      </c>
      <c r="L147" s="23">
        <v>-100</v>
      </c>
      <c r="M147" s="23">
        <v>100</v>
      </c>
      <c r="N147" s="23">
        <v>0</v>
      </c>
      <c r="O147" s="23" t="s">
        <v>303</v>
      </c>
      <c r="P147" s="23" t="s">
        <v>119</v>
      </c>
      <c r="Q147" s="23"/>
      <c r="R147" s="23"/>
      <c r="S147" s="30" t="s">
        <v>83</v>
      </c>
      <c r="T147" s="30" t="s">
        <v>84</v>
      </c>
      <c r="U147" s="35"/>
    </row>
    <row r="148" spans="1:21" ht="48">
      <c r="A148" s="23">
        <f t="shared" si="5"/>
        <v>136</v>
      </c>
      <c r="B148" s="23" t="s">
        <v>550</v>
      </c>
      <c r="C148" s="35" t="s">
        <v>551</v>
      </c>
      <c r="D148" s="16" t="s">
        <v>76</v>
      </c>
      <c r="E148" s="16">
        <v>0</v>
      </c>
      <c r="F148" s="21" t="s">
        <v>199</v>
      </c>
      <c r="G148" s="16" t="s">
        <v>195</v>
      </c>
      <c r="H148" s="16" t="s">
        <v>79</v>
      </c>
      <c r="I148" s="23">
        <v>1</v>
      </c>
      <c r="J148" s="23">
        <v>0</v>
      </c>
      <c r="K148" s="23">
        <v>1</v>
      </c>
      <c r="L148" s="23">
        <v>0</v>
      </c>
      <c r="M148" s="23">
        <v>250</v>
      </c>
      <c r="N148" s="23">
        <v>0</v>
      </c>
      <c r="O148" s="23" t="s">
        <v>372</v>
      </c>
      <c r="P148" s="23" t="s">
        <v>119</v>
      </c>
      <c r="Q148" s="23"/>
      <c r="R148" s="23"/>
      <c r="S148" s="83" t="s">
        <v>83</v>
      </c>
      <c r="T148" s="30" t="s">
        <v>84</v>
      </c>
      <c r="U148" s="35"/>
    </row>
    <row r="149" spans="1:21" ht="48">
      <c r="A149" s="23">
        <f t="shared" si="5"/>
        <v>137</v>
      </c>
      <c r="B149" s="23" t="s">
        <v>552</v>
      </c>
      <c r="C149" s="35" t="s">
        <v>553</v>
      </c>
      <c r="D149" s="16" t="s">
        <v>76</v>
      </c>
      <c r="E149" s="16">
        <v>0</v>
      </c>
      <c r="F149" s="21" t="s">
        <v>199</v>
      </c>
      <c r="G149" s="16" t="s">
        <v>195</v>
      </c>
      <c r="H149" s="16" t="s">
        <v>79</v>
      </c>
      <c r="I149" s="23">
        <v>1</v>
      </c>
      <c r="J149" s="23">
        <v>0</v>
      </c>
      <c r="K149" s="23">
        <v>1</v>
      </c>
      <c r="L149" s="23">
        <v>0</v>
      </c>
      <c r="M149" s="23" t="s">
        <v>365</v>
      </c>
      <c r="N149" s="23">
        <v>0</v>
      </c>
      <c r="O149" s="23" t="s">
        <v>80</v>
      </c>
      <c r="P149" s="23" t="s">
        <v>119</v>
      </c>
      <c r="Q149" s="23"/>
      <c r="R149" s="23"/>
      <c r="S149" s="83" t="s">
        <v>83</v>
      </c>
      <c r="T149" s="30" t="s">
        <v>84</v>
      </c>
      <c r="U149" s="35"/>
    </row>
    <row r="150" spans="1:21" ht="48">
      <c r="A150" s="23">
        <f t="shared" si="5"/>
        <v>138</v>
      </c>
      <c r="B150" s="23" t="s">
        <v>554</v>
      </c>
      <c r="C150" s="35" t="s">
        <v>555</v>
      </c>
      <c r="D150" s="16" t="s">
        <v>76</v>
      </c>
      <c r="E150" s="16">
        <v>0</v>
      </c>
      <c r="F150" s="21" t="s">
        <v>199</v>
      </c>
      <c r="G150" s="16" t="s">
        <v>195</v>
      </c>
      <c r="H150" s="16" t="s">
        <v>79</v>
      </c>
      <c r="I150" s="23">
        <v>1</v>
      </c>
      <c r="J150" s="23">
        <v>0</v>
      </c>
      <c r="K150" s="23">
        <v>1</v>
      </c>
      <c r="L150" s="23">
        <v>0</v>
      </c>
      <c r="M150" s="23" t="s">
        <v>365</v>
      </c>
      <c r="N150" s="23">
        <v>0</v>
      </c>
      <c r="O150" s="23" t="s">
        <v>80</v>
      </c>
      <c r="P150" s="23" t="s">
        <v>119</v>
      </c>
      <c r="Q150" s="23"/>
      <c r="R150" s="23"/>
      <c r="S150" s="83" t="s">
        <v>83</v>
      </c>
      <c r="T150" s="30" t="s">
        <v>84</v>
      </c>
      <c r="U150" s="35"/>
    </row>
    <row r="151" spans="1:21" ht="30.25" customHeight="1">
      <c r="A151" s="23">
        <f t="shared" si="5"/>
        <v>139</v>
      </c>
      <c r="B151" s="23" t="s">
        <v>556</v>
      </c>
      <c r="C151" s="35" t="s">
        <v>557</v>
      </c>
      <c r="D151" s="16" t="s">
        <v>76</v>
      </c>
      <c r="E151" s="16">
        <v>0</v>
      </c>
      <c r="F151" s="21" t="s">
        <v>558</v>
      </c>
      <c r="G151" s="16" t="s">
        <v>195</v>
      </c>
      <c r="H151" s="23" t="s">
        <v>306</v>
      </c>
      <c r="I151" s="23">
        <v>4</v>
      </c>
      <c r="J151" s="23">
        <v>0</v>
      </c>
      <c r="K151" s="23">
        <v>1</v>
      </c>
      <c r="L151" s="23">
        <v>0</v>
      </c>
      <c r="M151" s="23">
        <v>100</v>
      </c>
      <c r="N151" s="23">
        <v>0</v>
      </c>
      <c r="O151" s="23" t="s">
        <v>473</v>
      </c>
      <c r="P151" s="23" t="s">
        <v>119</v>
      </c>
      <c r="Q151" s="23"/>
      <c r="R151" s="23"/>
      <c r="S151" s="83" t="s">
        <v>83</v>
      </c>
      <c r="T151" s="30" t="s">
        <v>84</v>
      </c>
      <c r="U151" s="35"/>
    </row>
    <row r="152" spans="1:21" ht="34">
      <c r="A152" s="78">
        <f t="shared" si="5"/>
        <v>140</v>
      </c>
      <c r="B152" s="78" t="s">
        <v>559</v>
      </c>
      <c r="C152" s="63" t="s">
        <v>560</v>
      </c>
      <c r="D152" s="58" t="s">
        <v>76</v>
      </c>
      <c r="E152" s="58">
        <v>0</v>
      </c>
      <c r="F152" s="81" t="s">
        <v>558</v>
      </c>
      <c r="G152" s="58" t="s">
        <v>195</v>
      </c>
      <c r="H152" s="58" t="s">
        <v>79</v>
      </c>
      <c r="I152" s="78">
        <v>1</v>
      </c>
      <c r="J152" s="78">
        <v>0</v>
      </c>
      <c r="K152" s="78">
        <v>1</v>
      </c>
      <c r="L152" s="78">
        <v>0</v>
      </c>
      <c r="M152" s="78">
        <v>7</v>
      </c>
      <c r="N152" s="78">
        <v>0</v>
      </c>
      <c r="O152" s="78" t="s">
        <v>80</v>
      </c>
      <c r="P152" s="78" t="s">
        <v>119</v>
      </c>
      <c r="Q152" s="78"/>
      <c r="R152" s="78"/>
      <c r="S152" s="84" t="s">
        <v>83</v>
      </c>
      <c r="T152" s="85" t="s">
        <v>84</v>
      </c>
      <c r="U152" s="63" t="s">
        <v>561</v>
      </c>
    </row>
    <row r="153" spans="1:21" ht="48">
      <c r="A153" s="78">
        <f t="shared" si="5"/>
        <v>141</v>
      </c>
      <c r="B153" s="78" t="s">
        <v>562</v>
      </c>
      <c r="C153" s="63" t="s">
        <v>563</v>
      </c>
      <c r="D153" s="58" t="s">
        <v>76</v>
      </c>
      <c r="E153" s="58">
        <v>0</v>
      </c>
      <c r="F153" s="81" t="s">
        <v>199</v>
      </c>
      <c r="G153" s="58" t="s">
        <v>195</v>
      </c>
      <c r="H153" s="58" t="s">
        <v>79</v>
      </c>
      <c r="I153" s="78">
        <v>1</v>
      </c>
      <c r="J153" s="78">
        <v>0</v>
      </c>
      <c r="K153" s="78">
        <v>1</v>
      </c>
      <c r="L153" s="78">
        <v>0</v>
      </c>
      <c r="M153" s="78">
        <v>1</v>
      </c>
      <c r="N153" s="78">
        <v>0</v>
      </c>
      <c r="O153" s="78" t="s">
        <v>80</v>
      </c>
      <c r="P153" s="78" t="s">
        <v>81</v>
      </c>
      <c r="Q153" s="78"/>
      <c r="R153" s="78"/>
      <c r="S153" s="84" t="s">
        <v>83</v>
      </c>
      <c r="T153" s="85" t="s">
        <v>84</v>
      </c>
      <c r="U153" s="63" t="s">
        <v>564</v>
      </c>
    </row>
    <row r="154" spans="1:21" ht="48">
      <c r="A154" s="78">
        <f t="shared" si="5"/>
        <v>142</v>
      </c>
      <c r="B154" s="78" t="s">
        <v>565</v>
      </c>
      <c r="C154" s="63" t="s">
        <v>566</v>
      </c>
      <c r="D154" s="58" t="s">
        <v>76</v>
      </c>
      <c r="E154" s="58">
        <v>0</v>
      </c>
      <c r="F154" s="81" t="s">
        <v>199</v>
      </c>
      <c r="G154" s="58" t="s">
        <v>195</v>
      </c>
      <c r="H154" s="58" t="s">
        <v>79</v>
      </c>
      <c r="I154" s="78">
        <v>1</v>
      </c>
      <c r="J154" s="78">
        <v>0</v>
      </c>
      <c r="K154" s="78">
        <v>1</v>
      </c>
      <c r="L154" s="78">
        <v>0</v>
      </c>
      <c r="M154" s="78">
        <v>1</v>
      </c>
      <c r="N154" s="78">
        <v>0</v>
      </c>
      <c r="O154" s="78" t="s">
        <v>80</v>
      </c>
      <c r="P154" s="58" t="s">
        <v>81</v>
      </c>
      <c r="Q154" s="58"/>
      <c r="R154" s="58"/>
      <c r="S154" s="84" t="s">
        <v>83</v>
      </c>
      <c r="T154" s="85" t="s">
        <v>84</v>
      </c>
      <c r="U154" s="63" t="s">
        <v>567</v>
      </c>
    </row>
    <row r="155" spans="1:21" ht="48">
      <c r="A155" s="78">
        <f t="shared" si="5"/>
        <v>143</v>
      </c>
      <c r="B155" s="78" t="s">
        <v>568</v>
      </c>
      <c r="C155" s="63" t="s">
        <v>569</v>
      </c>
      <c r="D155" s="58" t="s">
        <v>76</v>
      </c>
      <c r="E155" s="58">
        <v>0</v>
      </c>
      <c r="F155" s="81" t="s">
        <v>199</v>
      </c>
      <c r="G155" s="58" t="s">
        <v>195</v>
      </c>
      <c r="H155" s="58" t="s">
        <v>79</v>
      </c>
      <c r="I155" s="78">
        <v>1</v>
      </c>
      <c r="J155" s="78">
        <v>0</v>
      </c>
      <c r="K155" s="78">
        <v>1</v>
      </c>
      <c r="L155" s="78">
        <v>0</v>
      </c>
      <c r="M155" s="78">
        <v>1</v>
      </c>
      <c r="N155" s="78">
        <v>0</v>
      </c>
      <c r="O155" s="78" t="s">
        <v>80</v>
      </c>
      <c r="P155" s="58" t="s">
        <v>81</v>
      </c>
      <c r="Q155" s="58"/>
      <c r="R155" s="58"/>
      <c r="S155" s="84" t="s">
        <v>83</v>
      </c>
      <c r="T155" s="85" t="s">
        <v>84</v>
      </c>
      <c r="U155" s="63" t="s">
        <v>570</v>
      </c>
    </row>
    <row r="156" spans="1:21" ht="48">
      <c r="A156" s="78">
        <f t="shared" si="5"/>
        <v>144</v>
      </c>
      <c r="B156" s="78" t="s">
        <v>571</v>
      </c>
      <c r="C156" s="63" t="s">
        <v>572</v>
      </c>
      <c r="D156" s="58" t="s">
        <v>76</v>
      </c>
      <c r="E156" s="58">
        <v>0</v>
      </c>
      <c r="F156" s="81" t="s">
        <v>199</v>
      </c>
      <c r="G156" s="58" t="s">
        <v>195</v>
      </c>
      <c r="H156" s="58" t="s">
        <v>79</v>
      </c>
      <c r="I156" s="78">
        <v>1</v>
      </c>
      <c r="J156" s="78">
        <v>0</v>
      </c>
      <c r="K156" s="78">
        <v>1</v>
      </c>
      <c r="L156" s="78">
        <v>0</v>
      </c>
      <c r="M156" s="78">
        <v>1</v>
      </c>
      <c r="N156" s="78">
        <v>0</v>
      </c>
      <c r="O156" s="78" t="s">
        <v>80</v>
      </c>
      <c r="P156" s="78" t="s">
        <v>119</v>
      </c>
      <c r="Q156" s="78"/>
      <c r="R156" s="78"/>
      <c r="S156" s="84" t="s">
        <v>135</v>
      </c>
      <c r="T156" s="85" t="s">
        <v>196</v>
      </c>
      <c r="U156" s="63" t="s">
        <v>573</v>
      </c>
    </row>
    <row r="157" spans="1:21" ht="204">
      <c r="A157" s="78">
        <f t="shared" si="5"/>
        <v>145</v>
      </c>
      <c r="B157" s="78" t="s">
        <v>574</v>
      </c>
      <c r="C157" s="63" t="s">
        <v>575</v>
      </c>
      <c r="D157" s="58" t="s">
        <v>76</v>
      </c>
      <c r="E157" s="58">
        <v>0</v>
      </c>
      <c r="F157" s="81" t="s">
        <v>199</v>
      </c>
      <c r="G157" s="58" t="s">
        <v>195</v>
      </c>
      <c r="H157" s="58" t="s">
        <v>99</v>
      </c>
      <c r="I157" s="78">
        <v>2</v>
      </c>
      <c r="J157" s="78">
        <v>0</v>
      </c>
      <c r="K157" s="78">
        <v>1</v>
      </c>
      <c r="L157" s="78">
        <v>0</v>
      </c>
      <c r="M157" s="78">
        <v>255</v>
      </c>
      <c r="N157" s="78">
        <v>0</v>
      </c>
      <c r="O157" s="78" t="s">
        <v>80</v>
      </c>
      <c r="P157" s="78" t="s">
        <v>81</v>
      </c>
      <c r="Q157" s="78"/>
      <c r="R157" s="78"/>
      <c r="S157" s="84" t="s">
        <v>83</v>
      </c>
      <c r="T157" s="85" t="s">
        <v>84</v>
      </c>
      <c r="U157" s="63" t="s">
        <v>576</v>
      </c>
    </row>
    <row r="158" spans="1:21" s="10" customFormat="1" ht="48">
      <c r="A158" s="23">
        <f t="shared" si="5"/>
        <v>146</v>
      </c>
      <c r="B158" s="23" t="s">
        <v>577</v>
      </c>
      <c r="C158" s="35" t="s">
        <v>578</v>
      </c>
      <c r="D158" s="16" t="s">
        <v>76</v>
      </c>
      <c r="E158" s="16">
        <v>0</v>
      </c>
      <c r="F158" s="21" t="s">
        <v>199</v>
      </c>
      <c r="G158" s="16" t="s">
        <v>195</v>
      </c>
      <c r="H158" s="23" t="s">
        <v>531</v>
      </c>
      <c r="I158" s="23">
        <v>4</v>
      </c>
      <c r="J158" s="23">
        <v>0</v>
      </c>
      <c r="K158" s="23">
        <v>1.0000000000000001E-5</v>
      </c>
      <c r="L158" s="23">
        <v>-3.1415899999999999</v>
      </c>
      <c r="M158" s="23">
        <v>3.1415899999999999</v>
      </c>
      <c r="N158" s="23">
        <v>0</v>
      </c>
      <c r="O158" s="23" t="s">
        <v>80</v>
      </c>
      <c r="P158" s="16" t="s">
        <v>119</v>
      </c>
      <c r="Q158" s="16"/>
      <c r="R158" s="16"/>
      <c r="S158" s="83" t="s">
        <v>135</v>
      </c>
      <c r="T158" s="30" t="s">
        <v>196</v>
      </c>
      <c r="U158" s="35"/>
    </row>
    <row r="159" spans="1:21" s="10" customFormat="1" ht="48">
      <c r="A159" s="23">
        <f t="shared" si="5"/>
        <v>147</v>
      </c>
      <c r="B159" s="23" t="s">
        <v>579</v>
      </c>
      <c r="C159" s="35" t="s">
        <v>580</v>
      </c>
      <c r="D159" s="16" t="s">
        <v>76</v>
      </c>
      <c r="E159" s="16">
        <v>0</v>
      </c>
      <c r="F159" s="21" t="s">
        <v>199</v>
      </c>
      <c r="G159" s="16" t="s">
        <v>195</v>
      </c>
      <c r="H159" s="23" t="s">
        <v>531</v>
      </c>
      <c r="I159" s="23">
        <v>4</v>
      </c>
      <c r="J159" s="23">
        <v>0</v>
      </c>
      <c r="K159" s="23">
        <v>1.0000000000000001E-5</v>
      </c>
      <c r="L159" s="23">
        <v>-21474</v>
      </c>
      <c r="M159" s="23">
        <v>21474</v>
      </c>
      <c r="N159" s="23">
        <v>0</v>
      </c>
      <c r="O159" s="23" t="s">
        <v>80</v>
      </c>
      <c r="P159" s="16" t="s">
        <v>119</v>
      </c>
      <c r="Q159" s="16"/>
      <c r="R159" s="16"/>
      <c r="S159" s="83" t="s">
        <v>135</v>
      </c>
      <c r="T159" s="30" t="s">
        <v>196</v>
      </c>
      <c r="U159" s="35"/>
    </row>
    <row r="160" spans="1:21" s="10" customFormat="1" ht="48">
      <c r="A160" s="23">
        <f t="shared" si="5"/>
        <v>148</v>
      </c>
      <c r="B160" s="23" t="s">
        <v>581</v>
      </c>
      <c r="C160" s="35" t="s">
        <v>582</v>
      </c>
      <c r="D160" s="16" t="s">
        <v>76</v>
      </c>
      <c r="E160" s="16">
        <v>0</v>
      </c>
      <c r="F160" s="21" t="s">
        <v>199</v>
      </c>
      <c r="G160" s="16" t="s">
        <v>195</v>
      </c>
      <c r="H160" s="23" t="s">
        <v>531</v>
      </c>
      <c r="I160" s="23">
        <v>4</v>
      </c>
      <c r="J160" s="23">
        <v>0</v>
      </c>
      <c r="K160" s="23">
        <v>1.0000000000000001E-5</v>
      </c>
      <c r="L160" s="23">
        <v>-21474</v>
      </c>
      <c r="M160" s="23">
        <v>21474</v>
      </c>
      <c r="N160" s="23">
        <v>0</v>
      </c>
      <c r="O160" s="23" t="s">
        <v>80</v>
      </c>
      <c r="P160" s="16" t="s">
        <v>119</v>
      </c>
      <c r="Q160" s="16"/>
      <c r="R160" s="16"/>
      <c r="S160" s="83" t="s">
        <v>135</v>
      </c>
      <c r="T160" s="30" t="s">
        <v>196</v>
      </c>
      <c r="U160" s="35"/>
    </row>
    <row r="161" spans="1:21" s="10" customFormat="1" ht="48">
      <c r="A161" s="23">
        <f t="shared" si="5"/>
        <v>149</v>
      </c>
      <c r="B161" s="78" t="s">
        <v>583</v>
      </c>
      <c r="C161" s="35" t="s">
        <v>584</v>
      </c>
      <c r="D161" s="16" t="s">
        <v>76</v>
      </c>
      <c r="E161" s="16">
        <v>0</v>
      </c>
      <c r="F161" s="21" t="s">
        <v>199</v>
      </c>
      <c r="G161" s="16" t="s">
        <v>195</v>
      </c>
      <c r="H161" s="23" t="s">
        <v>531</v>
      </c>
      <c r="I161" s="23">
        <v>4</v>
      </c>
      <c r="J161" s="23">
        <v>0</v>
      </c>
      <c r="K161" s="23">
        <v>1.0000000000000001E-5</v>
      </c>
      <c r="L161" s="23">
        <v>-21474</v>
      </c>
      <c r="M161" s="23">
        <v>21474</v>
      </c>
      <c r="N161" s="23">
        <v>0</v>
      </c>
      <c r="O161" s="23" t="s">
        <v>80</v>
      </c>
      <c r="P161" s="16" t="s">
        <v>119</v>
      </c>
      <c r="Q161" s="16"/>
      <c r="R161" s="16"/>
      <c r="S161" s="83" t="s">
        <v>135</v>
      </c>
      <c r="T161" s="30" t="s">
        <v>196</v>
      </c>
      <c r="U161" s="35"/>
    </row>
    <row r="162" spans="1:21" s="10" customFormat="1" ht="48">
      <c r="A162" s="23">
        <f t="shared" si="5"/>
        <v>150</v>
      </c>
      <c r="B162" s="23" t="s">
        <v>585</v>
      </c>
      <c r="C162" s="35" t="s">
        <v>586</v>
      </c>
      <c r="D162" s="16" t="s">
        <v>76</v>
      </c>
      <c r="E162" s="16">
        <v>0</v>
      </c>
      <c r="F162" s="21" t="s">
        <v>199</v>
      </c>
      <c r="G162" s="16" t="s">
        <v>195</v>
      </c>
      <c r="H162" s="23" t="s">
        <v>531</v>
      </c>
      <c r="I162" s="23">
        <v>4</v>
      </c>
      <c r="J162" s="23">
        <v>0</v>
      </c>
      <c r="K162" s="23">
        <v>1.0000000000000001E-5</v>
      </c>
      <c r="L162" s="23">
        <v>-21474</v>
      </c>
      <c r="M162" s="23">
        <v>21474</v>
      </c>
      <c r="N162" s="23">
        <v>0</v>
      </c>
      <c r="O162" s="23" t="s">
        <v>80</v>
      </c>
      <c r="P162" s="16" t="s">
        <v>119</v>
      </c>
      <c r="Q162" s="16"/>
      <c r="R162" s="16"/>
      <c r="S162" s="83" t="s">
        <v>135</v>
      </c>
      <c r="T162" s="30" t="s">
        <v>196</v>
      </c>
      <c r="U162" s="35"/>
    </row>
    <row r="163" spans="1:21" s="10" customFormat="1" ht="48">
      <c r="A163" s="23">
        <f t="shared" si="5"/>
        <v>151</v>
      </c>
      <c r="B163" s="23" t="s">
        <v>587</v>
      </c>
      <c r="C163" s="35" t="s">
        <v>588</v>
      </c>
      <c r="D163" s="16" t="s">
        <v>76</v>
      </c>
      <c r="E163" s="16">
        <v>0</v>
      </c>
      <c r="F163" s="21" t="s">
        <v>199</v>
      </c>
      <c r="G163" s="16" t="s">
        <v>195</v>
      </c>
      <c r="H163" s="23" t="s">
        <v>531</v>
      </c>
      <c r="I163" s="23">
        <v>4</v>
      </c>
      <c r="J163" s="23">
        <v>0</v>
      </c>
      <c r="K163" s="23">
        <v>1.0000000000000001E-5</v>
      </c>
      <c r="L163" s="23">
        <v>-21474</v>
      </c>
      <c r="M163" s="23">
        <v>21474</v>
      </c>
      <c r="N163" s="23">
        <v>0</v>
      </c>
      <c r="O163" s="23" t="s">
        <v>80</v>
      </c>
      <c r="P163" s="16" t="s">
        <v>119</v>
      </c>
      <c r="Q163" s="16"/>
      <c r="R163" s="16"/>
      <c r="S163" s="83" t="s">
        <v>135</v>
      </c>
      <c r="T163" s="30" t="s">
        <v>196</v>
      </c>
      <c r="U163" s="35"/>
    </row>
    <row r="164" spans="1:21" s="10" customFormat="1" ht="48">
      <c r="A164" s="23">
        <f t="shared" si="5"/>
        <v>152</v>
      </c>
      <c r="B164" s="23" t="s">
        <v>589</v>
      </c>
      <c r="C164" s="35" t="s">
        <v>590</v>
      </c>
      <c r="D164" s="16" t="s">
        <v>76</v>
      </c>
      <c r="E164" s="16">
        <v>0</v>
      </c>
      <c r="F164" s="21" t="s">
        <v>199</v>
      </c>
      <c r="G164" s="16" t="s">
        <v>195</v>
      </c>
      <c r="H164" s="23" t="s">
        <v>531</v>
      </c>
      <c r="I164" s="23">
        <v>4</v>
      </c>
      <c r="J164" s="23">
        <v>0</v>
      </c>
      <c r="K164" s="23">
        <v>1.0000000000000001E-5</v>
      </c>
      <c r="L164" s="23">
        <v>-21474</v>
      </c>
      <c r="M164" s="23">
        <v>21474</v>
      </c>
      <c r="N164" s="23">
        <v>0</v>
      </c>
      <c r="O164" s="23" t="s">
        <v>80</v>
      </c>
      <c r="P164" s="16" t="s">
        <v>119</v>
      </c>
      <c r="Q164" s="16"/>
      <c r="R164" s="16"/>
      <c r="S164" s="83" t="s">
        <v>135</v>
      </c>
      <c r="T164" s="30" t="s">
        <v>196</v>
      </c>
      <c r="U164" s="35"/>
    </row>
    <row r="165" spans="1:21" s="10" customFormat="1" ht="48">
      <c r="A165" s="23">
        <f t="shared" si="5"/>
        <v>153</v>
      </c>
      <c r="B165" s="23" t="s">
        <v>591</v>
      </c>
      <c r="C165" s="35" t="s">
        <v>592</v>
      </c>
      <c r="D165" s="16" t="s">
        <v>76</v>
      </c>
      <c r="E165" s="16">
        <v>0</v>
      </c>
      <c r="F165" s="21" t="s">
        <v>199</v>
      </c>
      <c r="G165" s="16" t="s">
        <v>195</v>
      </c>
      <c r="H165" s="23" t="s">
        <v>531</v>
      </c>
      <c r="I165" s="23">
        <v>4</v>
      </c>
      <c r="J165" s="23">
        <v>0</v>
      </c>
      <c r="K165" s="23">
        <v>1.0000000000000001E-5</v>
      </c>
      <c r="L165" s="23">
        <v>-21474</v>
      </c>
      <c r="M165" s="23">
        <v>21474</v>
      </c>
      <c r="N165" s="23">
        <v>0</v>
      </c>
      <c r="O165" s="23" t="s">
        <v>80</v>
      </c>
      <c r="P165" s="16" t="s">
        <v>119</v>
      </c>
      <c r="Q165" s="16"/>
      <c r="R165" s="16"/>
      <c r="S165" s="83" t="s">
        <v>135</v>
      </c>
      <c r="T165" s="30" t="s">
        <v>196</v>
      </c>
      <c r="U165" s="35"/>
    </row>
    <row r="166" spans="1:21" s="10" customFormat="1" ht="48">
      <c r="A166" s="23">
        <f t="shared" si="5"/>
        <v>154</v>
      </c>
      <c r="B166" s="23" t="s">
        <v>593</v>
      </c>
      <c r="C166" s="35" t="s">
        <v>594</v>
      </c>
      <c r="D166" s="16" t="s">
        <v>76</v>
      </c>
      <c r="E166" s="16">
        <v>0</v>
      </c>
      <c r="F166" s="21" t="s">
        <v>199</v>
      </c>
      <c r="G166" s="16" t="s">
        <v>195</v>
      </c>
      <c r="H166" s="23" t="s">
        <v>531</v>
      </c>
      <c r="I166" s="23">
        <v>4</v>
      </c>
      <c r="J166" s="23">
        <v>0</v>
      </c>
      <c r="K166" s="23">
        <v>1.0000000000000001E-5</v>
      </c>
      <c r="L166" s="23">
        <v>-21474</v>
      </c>
      <c r="M166" s="23">
        <v>21474</v>
      </c>
      <c r="N166" s="23">
        <v>0</v>
      </c>
      <c r="O166" s="23" t="s">
        <v>80</v>
      </c>
      <c r="P166" s="16" t="s">
        <v>119</v>
      </c>
      <c r="Q166" s="16"/>
      <c r="R166" s="16"/>
      <c r="S166" s="83" t="s">
        <v>135</v>
      </c>
      <c r="T166" s="30" t="s">
        <v>196</v>
      </c>
      <c r="U166" s="35"/>
    </row>
    <row r="167" spans="1:21" s="10" customFormat="1" ht="48">
      <c r="A167" s="23">
        <f t="shared" si="5"/>
        <v>155</v>
      </c>
      <c r="B167" s="23" t="s">
        <v>595</v>
      </c>
      <c r="C167" s="35" t="s">
        <v>596</v>
      </c>
      <c r="D167" s="16" t="s">
        <v>76</v>
      </c>
      <c r="E167" s="16">
        <v>0</v>
      </c>
      <c r="F167" s="21" t="s">
        <v>199</v>
      </c>
      <c r="G167" s="16" t="s">
        <v>195</v>
      </c>
      <c r="H167" s="23" t="s">
        <v>531</v>
      </c>
      <c r="I167" s="23">
        <v>4</v>
      </c>
      <c r="J167" s="23">
        <v>0</v>
      </c>
      <c r="K167" s="23">
        <v>1.0000000000000001E-5</v>
      </c>
      <c r="L167" s="23">
        <v>-21474</v>
      </c>
      <c r="M167" s="23">
        <v>21474</v>
      </c>
      <c r="N167" s="23">
        <v>0</v>
      </c>
      <c r="O167" s="23" t="s">
        <v>80</v>
      </c>
      <c r="P167" s="16" t="s">
        <v>119</v>
      </c>
      <c r="Q167" s="16"/>
      <c r="R167" s="16"/>
      <c r="S167" s="83" t="s">
        <v>135</v>
      </c>
      <c r="T167" s="30" t="s">
        <v>196</v>
      </c>
      <c r="U167" s="35"/>
    </row>
    <row r="168" spans="1:21" s="10" customFormat="1" ht="48">
      <c r="A168" s="23">
        <f t="shared" si="5"/>
        <v>156</v>
      </c>
      <c r="B168" s="23" t="s">
        <v>597</v>
      </c>
      <c r="C168" s="35" t="s">
        <v>598</v>
      </c>
      <c r="D168" s="16" t="s">
        <v>76</v>
      </c>
      <c r="E168" s="16">
        <v>0</v>
      </c>
      <c r="F168" s="21" t="s">
        <v>199</v>
      </c>
      <c r="G168" s="16" t="s">
        <v>195</v>
      </c>
      <c r="H168" s="23" t="s">
        <v>531</v>
      </c>
      <c r="I168" s="23">
        <v>4</v>
      </c>
      <c r="J168" s="23">
        <v>0</v>
      </c>
      <c r="K168" s="23">
        <v>1.0000000000000001E-5</v>
      </c>
      <c r="L168" s="23">
        <v>-21474</v>
      </c>
      <c r="M168" s="23">
        <v>21474</v>
      </c>
      <c r="N168" s="23">
        <v>0</v>
      </c>
      <c r="O168" s="23" t="s">
        <v>80</v>
      </c>
      <c r="P168" s="16" t="s">
        <v>119</v>
      </c>
      <c r="Q168" s="16"/>
      <c r="R168" s="16"/>
      <c r="S168" s="83" t="s">
        <v>135</v>
      </c>
      <c r="T168" s="30" t="s">
        <v>196</v>
      </c>
      <c r="U168" s="35"/>
    </row>
    <row r="169" spans="1:21" s="10" customFormat="1" ht="48">
      <c r="A169" s="23">
        <f t="shared" si="5"/>
        <v>157</v>
      </c>
      <c r="B169" s="23" t="s">
        <v>599</v>
      </c>
      <c r="C169" s="35" t="s">
        <v>600</v>
      </c>
      <c r="D169" s="16" t="s">
        <v>76</v>
      </c>
      <c r="E169" s="16">
        <v>0</v>
      </c>
      <c r="F169" s="21" t="s">
        <v>199</v>
      </c>
      <c r="G169" s="16" t="s">
        <v>195</v>
      </c>
      <c r="H169" s="23" t="s">
        <v>531</v>
      </c>
      <c r="I169" s="23">
        <v>4</v>
      </c>
      <c r="J169" s="23">
        <v>0</v>
      </c>
      <c r="K169" s="23">
        <v>1.0000000000000001E-5</v>
      </c>
      <c r="L169" s="23">
        <v>-21474</v>
      </c>
      <c r="M169" s="23">
        <v>21474</v>
      </c>
      <c r="N169" s="23">
        <v>0</v>
      </c>
      <c r="O169" s="23" t="s">
        <v>80</v>
      </c>
      <c r="P169" s="16" t="s">
        <v>119</v>
      </c>
      <c r="Q169" s="16"/>
      <c r="R169" s="16"/>
      <c r="S169" s="83" t="s">
        <v>135</v>
      </c>
      <c r="T169" s="30" t="s">
        <v>196</v>
      </c>
      <c r="U169" s="35"/>
    </row>
    <row r="170" spans="1:21" s="10" customFormat="1" ht="48">
      <c r="A170" s="23">
        <f t="shared" si="5"/>
        <v>158</v>
      </c>
      <c r="B170" s="23" t="s">
        <v>601</v>
      </c>
      <c r="C170" s="35" t="s">
        <v>602</v>
      </c>
      <c r="D170" s="16" t="s">
        <v>76</v>
      </c>
      <c r="E170" s="16">
        <v>0</v>
      </c>
      <c r="F170" s="21" t="s">
        <v>199</v>
      </c>
      <c r="G170" s="16" t="s">
        <v>195</v>
      </c>
      <c r="H170" s="23" t="s">
        <v>531</v>
      </c>
      <c r="I170" s="23">
        <v>4</v>
      </c>
      <c r="J170" s="23">
        <v>0</v>
      </c>
      <c r="K170" s="23">
        <v>1.0000000000000001E-5</v>
      </c>
      <c r="L170" s="23">
        <v>-21474</v>
      </c>
      <c r="M170" s="23">
        <v>21474</v>
      </c>
      <c r="N170" s="23">
        <v>0</v>
      </c>
      <c r="O170" s="23" t="s">
        <v>80</v>
      </c>
      <c r="P170" s="16" t="s">
        <v>119</v>
      </c>
      <c r="Q170" s="16"/>
      <c r="R170" s="16"/>
      <c r="S170" s="83" t="s">
        <v>135</v>
      </c>
      <c r="T170" s="30" t="s">
        <v>196</v>
      </c>
      <c r="U170" s="35"/>
    </row>
    <row r="171" spans="1:21" s="10" customFormat="1" ht="48">
      <c r="A171" s="23">
        <f t="shared" si="5"/>
        <v>159</v>
      </c>
      <c r="B171" s="23" t="s">
        <v>603</v>
      </c>
      <c r="C171" s="35" t="s">
        <v>604</v>
      </c>
      <c r="D171" s="16" t="s">
        <v>76</v>
      </c>
      <c r="E171" s="16">
        <v>0</v>
      </c>
      <c r="F171" s="21" t="s">
        <v>199</v>
      </c>
      <c r="G171" s="16" t="s">
        <v>195</v>
      </c>
      <c r="H171" s="23" t="s">
        <v>531</v>
      </c>
      <c r="I171" s="23">
        <v>4</v>
      </c>
      <c r="J171" s="23">
        <v>0</v>
      </c>
      <c r="K171" s="23">
        <v>1.0000000000000001E-5</v>
      </c>
      <c r="L171" s="23">
        <v>-21474</v>
      </c>
      <c r="M171" s="23">
        <v>21474</v>
      </c>
      <c r="N171" s="23">
        <v>0</v>
      </c>
      <c r="O171" s="23" t="s">
        <v>80</v>
      </c>
      <c r="P171" s="16" t="s">
        <v>119</v>
      </c>
      <c r="Q171" s="16"/>
      <c r="R171" s="16"/>
      <c r="S171" s="83" t="s">
        <v>135</v>
      </c>
      <c r="T171" s="30" t="s">
        <v>196</v>
      </c>
      <c r="U171" s="35"/>
    </row>
    <row r="172" spans="1:21" s="10" customFormat="1" ht="48">
      <c r="A172" s="23">
        <f t="shared" si="5"/>
        <v>160</v>
      </c>
      <c r="B172" s="23" t="s">
        <v>605</v>
      </c>
      <c r="C172" s="35" t="s">
        <v>606</v>
      </c>
      <c r="D172" s="16" t="s">
        <v>76</v>
      </c>
      <c r="E172" s="16">
        <v>0</v>
      </c>
      <c r="F172" s="21" t="s">
        <v>199</v>
      </c>
      <c r="G172" s="16" t="s">
        <v>195</v>
      </c>
      <c r="H172" s="23" t="s">
        <v>531</v>
      </c>
      <c r="I172" s="23">
        <v>4</v>
      </c>
      <c r="J172" s="23">
        <v>0</v>
      </c>
      <c r="K172" s="23">
        <v>1.0000000000000001E-5</v>
      </c>
      <c r="L172" s="23">
        <v>-21474</v>
      </c>
      <c r="M172" s="23">
        <v>21474</v>
      </c>
      <c r="N172" s="23">
        <v>0</v>
      </c>
      <c r="O172" s="23" t="s">
        <v>80</v>
      </c>
      <c r="P172" s="16" t="s">
        <v>119</v>
      </c>
      <c r="Q172" s="16"/>
      <c r="R172" s="16"/>
      <c r="S172" s="83" t="s">
        <v>135</v>
      </c>
      <c r="T172" s="30" t="s">
        <v>196</v>
      </c>
      <c r="U172" s="35"/>
    </row>
    <row r="173" spans="1:21" s="10" customFormat="1" ht="48">
      <c r="A173" s="23">
        <f t="shared" si="5"/>
        <v>161</v>
      </c>
      <c r="B173" s="23" t="s">
        <v>607</v>
      </c>
      <c r="C173" s="35" t="s">
        <v>608</v>
      </c>
      <c r="D173" s="16" t="s">
        <v>76</v>
      </c>
      <c r="E173" s="16">
        <v>0</v>
      </c>
      <c r="F173" s="21" t="s">
        <v>199</v>
      </c>
      <c r="G173" s="16" t="s">
        <v>195</v>
      </c>
      <c r="H173" s="23" t="s">
        <v>531</v>
      </c>
      <c r="I173" s="23">
        <v>4</v>
      </c>
      <c r="J173" s="23">
        <v>0</v>
      </c>
      <c r="K173" s="23">
        <v>1.0000000000000001E-5</v>
      </c>
      <c r="L173" s="23">
        <v>-21474</v>
      </c>
      <c r="M173" s="23">
        <v>21474</v>
      </c>
      <c r="N173" s="23">
        <v>0</v>
      </c>
      <c r="O173" s="23" t="s">
        <v>80</v>
      </c>
      <c r="P173" s="16" t="s">
        <v>119</v>
      </c>
      <c r="Q173" s="16"/>
      <c r="R173" s="16"/>
      <c r="S173" s="83" t="s">
        <v>135</v>
      </c>
      <c r="T173" s="30" t="s">
        <v>196</v>
      </c>
      <c r="U173" s="35"/>
    </row>
    <row r="174" spans="1:21" s="10" customFormat="1" ht="48">
      <c r="A174" s="23">
        <f t="shared" si="5"/>
        <v>162</v>
      </c>
      <c r="B174" s="23" t="s">
        <v>609</v>
      </c>
      <c r="C174" s="35" t="s">
        <v>610</v>
      </c>
      <c r="D174" s="16" t="s">
        <v>76</v>
      </c>
      <c r="E174" s="16">
        <v>0</v>
      </c>
      <c r="F174" s="21" t="s">
        <v>199</v>
      </c>
      <c r="G174" s="16" t="s">
        <v>195</v>
      </c>
      <c r="H174" s="23" t="s">
        <v>531</v>
      </c>
      <c r="I174" s="23">
        <v>4</v>
      </c>
      <c r="J174" s="23">
        <v>0</v>
      </c>
      <c r="K174" s="23">
        <v>1.0000000000000001E-5</v>
      </c>
      <c r="L174" s="23">
        <v>-21474</v>
      </c>
      <c r="M174" s="23">
        <v>21474</v>
      </c>
      <c r="N174" s="23">
        <v>0</v>
      </c>
      <c r="O174" s="23" t="s">
        <v>80</v>
      </c>
      <c r="P174" s="16" t="s">
        <v>119</v>
      </c>
      <c r="Q174" s="16"/>
      <c r="R174" s="16"/>
      <c r="S174" s="83" t="s">
        <v>135</v>
      </c>
      <c r="T174" s="30" t="s">
        <v>196</v>
      </c>
      <c r="U174" s="35"/>
    </row>
    <row r="175" spans="1:21" s="71" customFormat="1" ht="36" customHeight="1">
      <c r="A175" s="77" t="s">
        <v>611</v>
      </c>
      <c r="B175" s="77"/>
      <c r="C175" s="77"/>
      <c r="D175" s="77"/>
      <c r="E175" s="77"/>
      <c r="F175" s="77"/>
      <c r="G175" s="77"/>
      <c r="H175" s="77"/>
      <c r="I175" s="77"/>
      <c r="J175" s="77"/>
      <c r="K175" s="82"/>
      <c r="L175" s="77"/>
      <c r="M175" s="82"/>
      <c r="N175" s="82"/>
      <c r="O175" s="82"/>
      <c r="P175" s="77"/>
      <c r="Q175" s="77"/>
      <c r="R175" s="77"/>
      <c r="S175" s="77"/>
      <c r="T175" s="32"/>
      <c r="U175" s="88"/>
    </row>
    <row r="176" spans="1:21" s="72" customFormat="1" ht="68">
      <c r="A176" s="23">
        <f>A174+1</f>
        <v>163</v>
      </c>
      <c r="B176" s="23" t="s">
        <v>612</v>
      </c>
      <c r="C176" s="35" t="s">
        <v>613</v>
      </c>
      <c r="D176" s="16" t="s">
        <v>76</v>
      </c>
      <c r="E176" s="16">
        <v>0</v>
      </c>
      <c r="F176" s="21" t="s">
        <v>199</v>
      </c>
      <c r="G176" s="16" t="s">
        <v>195</v>
      </c>
      <c r="H176" s="16" t="s">
        <v>79</v>
      </c>
      <c r="I176" s="23">
        <v>1</v>
      </c>
      <c r="J176" s="23">
        <v>0</v>
      </c>
      <c r="K176" s="23">
        <v>1</v>
      </c>
      <c r="L176" s="23">
        <v>0</v>
      </c>
      <c r="M176" s="23">
        <v>2</v>
      </c>
      <c r="N176" s="23">
        <v>0</v>
      </c>
      <c r="O176" s="23" t="s">
        <v>80</v>
      </c>
      <c r="P176" s="16" t="s">
        <v>81</v>
      </c>
      <c r="Q176" s="16"/>
      <c r="R176" s="16"/>
      <c r="S176" s="83" t="s">
        <v>135</v>
      </c>
      <c r="T176" s="30" t="s">
        <v>196</v>
      </c>
      <c r="U176" s="35" t="s">
        <v>614</v>
      </c>
    </row>
    <row r="177" spans="1:21" ht="153">
      <c r="A177" s="40">
        <f>A176+1</f>
        <v>164</v>
      </c>
      <c r="B177" s="40" t="s">
        <v>615</v>
      </c>
      <c r="C177" s="80" t="s">
        <v>616</v>
      </c>
      <c r="D177" s="36" t="s">
        <v>76</v>
      </c>
      <c r="E177" s="36">
        <v>0</v>
      </c>
      <c r="F177" s="39" t="s">
        <v>199</v>
      </c>
      <c r="G177" s="36" t="s">
        <v>195</v>
      </c>
      <c r="H177" s="36" t="s">
        <v>99</v>
      </c>
      <c r="I177" s="40">
        <v>8</v>
      </c>
      <c r="J177" s="40">
        <v>0</v>
      </c>
      <c r="K177" s="40">
        <v>1</v>
      </c>
      <c r="L177" s="40">
        <v>0</v>
      </c>
      <c r="M177" s="40">
        <v>100</v>
      </c>
      <c r="N177" s="40">
        <v>100</v>
      </c>
      <c r="O177" s="40" t="s">
        <v>316</v>
      </c>
      <c r="P177" s="36" t="s">
        <v>81</v>
      </c>
      <c r="Q177" s="36"/>
      <c r="R177" s="36"/>
      <c r="S177" s="86" t="s">
        <v>135</v>
      </c>
      <c r="T177" s="43" t="s">
        <v>202</v>
      </c>
      <c r="U177" s="80" t="s">
        <v>617</v>
      </c>
    </row>
    <row r="178" spans="1:21" ht="153">
      <c r="A178" s="40">
        <f>A177+1</f>
        <v>165</v>
      </c>
      <c r="B178" s="40" t="s">
        <v>618</v>
      </c>
      <c r="C178" s="80" t="s">
        <v>619</v>
      </c>
      <c r="D178" s="36" t="s">
        <v>76</v>
      </c>
      <c r="E178" s="36">
        <v>0</v>
      </c>
      <c r="F178" s="39" t="s">
        <v>199</v>
      </c>
      <c r="G178" s="36" t="s">
        <v>195</v>
      </c>
      <c r="H178" s="36" t="s">
        <v>99</v>
      </c>
      <c r="I178" s="40">
        <v>8</v>
      </c>
      <c r="J178" s="40">
        <v>0</v>
      </c>
      <c r="K178" s="40">
        <v>1</v>
      </c>
      <c r="L178" s="40">
        <v>0</v>
      </c>
      <c r="M178" s="40">
        <v>100</v>
      </c>
      <c r="N178" s="40">
        <v>100</v>
      </c>
      <c r="O178" s="40" t="s">
        <v>316</v>
      </c>
      <c r="P178" s="36" t="s">
        <v>81</v>
      </c>
      <c r="Q178" s="36"/>
      <c r="R178" s="36"/>
      <c r="S178" s="86" t="s">
        <v>135</v>
      </c>
      <c r="T178" s="43" t="s">
        <v>202</v>
      </c>
      <c r="U178" s="80" t="s">
        <v>620</v>
      </c>
    </row>
    <row r="179" spans="1:21" ht="153">
      <c r="A179" s="40">
        <f>A178+1</f>
        <v>166</v>
      </c>
      <c r="B179" s="40" t="s">
        <v>621</v>
      </c>
      <c r="C179" s="80" t="s">
        <v>622</v>
      </c>
      <c r="D179" s="36" t="s">
        <v>76</v>
      </c>
      <c r="E179" s="36">
        <v>0</v>
      </c>
      <c r="F179" s="39" t="s">
        <v>199</v>
      </c>
      <c r="G179" s="36" t="s">
        <v>195</v>
      </c>
      <c r="H179" s="36" t="s">
        <v>99</v>
      </c>
      <c r="I179" s="40">
        <v>8</v>
      </c>
      <c r="J179" s="40">
        <v>0</v>
      </c>
      <c r="K179" s="40">
        <v>1</v>
      </c>
      <c r="L179" s="40">
        <v>0</v>
      </c>
      <c r="M179" s="40">
        <v>100</v>
      </c>
      <c r="N179" s="40">
        <v>100</v>
      </c>
      <c r="O179" s="40" t="s">
        <v>316</v>
      </c>
      <c r="P179" s="36" t="s">
        <v>81</v>
      </c>
      <c r="Q179" s="36"/>
      <c r="R179" s="36"/>
      <c r="S179" s="86" t="s">
        <v>135</v>
      </c>
      <c r="T179" s="43" t="s">
        <v>202</v>
      </c>
      <c r="U179" s="80" t="s">
        <v>623</v>
      </c>
    </row>
    <row r="180" spans="1:21" ht="153">
      <c r="A180" s="40">
        <f>A181+1</f>
        <v>168</v>
      </c>
      <c r="B180" s="40" t="s">
        <v>624</v>
      </c>
      <c r="C180" s="80" t="s">
        <v>625</v>
      </c>
      <c r="D180" s="36" t="s">
        <v>76</v>
      </c>
      <c r="E180" s="36">
        <v>0</v>
      </c>
      <c r="F180" s="39" t="s">
        <v>199</v>
      </c>
      <c r="G180" s="36" t="s">
        <v>195</v>
      </c>
      <c r="H180" s="36" t="s">
        <v>99</v>
      </c>
      <c r="I180" s="40">
        <v>8</v>
      </c>
      <c r="J180" s="40">
        <v>0</v>
      </c>
      <c r="K180" s="40">
        <v>1</v>
      </c>
      <c r="L180" s="40">
        <v>0</v>
      </c>
      <c r="M180" s="40">
        <v>100</v>
      </c>
      <c r="N180" s="40">
        <v>100</v>
      </c>
      <c r="O180" s="40" t="s">
        <v>316</v>
      </c>
      <c r="P180" s="36" t="s">
        <v>81</v>
      </c>
      <c r="Q180" s="36"/>
      <c r="R180" s="36"/>
      <c r="S180" s="86" t="s">
        <v>135</v>
      </c>
      <c r="T180" s="43" t="s">
        <v>202</v>
      </c>
      <c r="U180" s="80" t="s">
        <v>626</v>
      </c>
    </row>
    <row r="181" spans="1:21" ht="153">
      <c r="A181" s="40">
        <f>A179+1</f>
        <v>167</v>
      </c>
      <c r="B181" s="40" t="s">
        <v>627</v>
      </c>
      <c r="C181" s="80" t="s">
        <v>628</v>
      </c>
      <c r="D181" s="36" t="s">
        <v>76</v>
      </c>
      <c r="E181" s="36">
        <v>0</v>
      </c>
      <c r="F181" s="39" t="s">
        <v>199</v>
      </c>
      <c r="G181" s="36" t="s">
        <v>195</v>
      </c>
      <c r="H181" s="36" t="s">
        <v>99</v>
      </c>
      <c r="I181" s="40">
        <v>8</v>
      </c>
      <c r="J181" s="40">
        <v>0</v>
      </c>
      <c r="K181" s="40">
        <v>1</v>
      </c>
      <c r="L181" s="40">
        <v>0</v>
      </c>
      <c r="M181" s="40">
        <v>200</v>
      </c>
      <c r="N181" s="40">
        <v>100</v>
      </c>
      <c r="O181" s="40" t="s">
        <v>316</v>
      </c>
      <c r="P181" s="36" t="s">
        <v>81</v>
      </c>
      <c r="Q181" s="36"/>
      <c r="R181" s="36"/>
      <c r="S181" s="86" t="s">
        <v>135</v>
      </c>
      <c r="T181" s="43" t="s">
        <v>202</v>
      </c>
      <c r="U181" s="80" t="s">
        <v>629</v>
      </c>
    </row>
    <row r="182" spans="1:21" ht="48">
      <c r="A182" s="40">
        <f>A180+1</f>
        <v>169</v>
      </c>
      <c r="B182" s="40" t="s">
        <v>630</v>
      </c>
      <c r="C182" s="80" t="s">
        <v>631</v>
      </c>
      <c r="D182" s="36" t="s">
        <v>76</v>
      </c>
      <c r="E182" s="36">
        <v>0</v>
      </c>
      <c r="F182" s="39" t="s">
        <v>199</v>
      </c>
      <c r="G182" s="36" t="s">
        <v>195</v>
      </c>
      <c r="H182" s="36" t="s">
        <v>79</v>
      </c>
      <c r="I182" s="40">
        <v>1</v>
      </c>
      <c r="J182" s="40">
        <v>0</v>
      </c>
      <c r="K182" s="40">
        <v>1</v>
      </c>
      <c r="L182" s="40">
        <v>0</v>
      </c>
      <c r="M182" s="40">
        <v>30</v>
      </c>
      <c r="N182" s="40">
        <v>2</v>
      </c>
      <c r="O182" s="40" t="s">
        <v>80</v>
      </c>
      <c r="P182" s="36" t="s">
        <v>81</v>
      </c>
      <c r="Q182" s="36"/>
      <c r="R182" s="36"/>
      <c r="S182" s="86" t="s">
        <v>135</v>
      </c>
      <c r="T182" s="43" t="s">
        <v>202</v>
      </c>
      <c r="U182" s="80" t="s">
        <v>632</v>
      </c>
    </row>
    <row r="183" spans="1:21" ht="48">
      <c r="A183" s="23">
        <f t="shared" ref="A183:A198" si="6">A182+1</f>
        <v>170</v>
      </c>
      <c r="B183" s="78" t="s">
        <v>633</v>
      </c>
      <c r="C183" s="63" t="s">
        <v>634</v>
      </c>
      <c r="D183" s="58" t="s">
        <v>76</v>
      </c>
      <c r="E183" s="58">
        <v>0</v>
      </c>
      <c r="F183" s="81" t="s">
        <v>199</v>
      </c>
      <c r="G183" s="58" t="s">
        <v>195</v>
      </c>
      <c r="H183" s="58" t="s">
        <v>79</v>
      </c>
      <c r="I183" s="78">
        <v>1</v>
      </c>
      <c r="J183" s="78">
        <v>0</v>
      </c>
      <c r="K183" s="78">
        <v>1</v>
      </c>
      <c r="L183" s="78">
        <v>0</v>
      </c>
      <c r="M183" s="78">
        <v>60</v>
      </c>
      <c r="N183" s="78">
        <v>10</v>
      </c>
      <c r="O183" s="78" t="s">
        <v>387</v>
      </c>
      <c r="P183" s="58" t="s">
        <v>81</v>
      </c>
      <c r="Q183" s="58"/>
      <c r="R183" s="58"/>
      <c r="S183" s="84" t="s">
        <v>135</v>
      </c>
      <c r="T183" s="85" t="s">
        <v>202</v>
      </c>
      <c r="U183" s="63" t="s">
        <v>635</v>
      </c>
    </row>
    <row r="184" spans="1:21" ht="48">
      <c r="A184" s="23">
        <f t="shared" si="6"/>
        <v>171</v>
      </c>
      <c r="B184" s="23" t="s">
        <v>636</v>
      </c>
      <c r="C184" s="35" t="s">
        <v>637</v>
      </c>
      <c r="D184" s="16" t="s">
        <v>76</v>
      </c>
      <c r="E184" s="16">
        <v>0</v>
      </c>
      <c r="F184" s="21" t="s">
        <v>199</v>
      </c>
      <c r="G184" s="16" t="s">
        <v>195</v>
      </c>
      <c r="H184" s="16" t="s">
        <v>79</v>
      </c>
      <c r="I184" s="23">
        <v>1</v>
      </c>
      <c r="J184" s="23">
        <v>0</v>
      </c>
      <c r="K184" s="23">
        <v>1</v>
      </c>
      <c r="L184" s="23">
        <v>0</v>
      </c>
      <c r="M184" s="23">
        <v>250</v>
      </c>
      <c r="N184" s="23">
        <v>15</v>
      </c>
      <c r="O184" s="23" t="s">
        <v>372</v>
      </c>
      <c r="P184" s="16" t="s">
        <v>81</v>
      </c>
      <c r="Q184" s="16"/>
      <c r="R184" s="16"/>
      <c r="S184" s="83" t="s">
        <v>135</v>
      </c>
      <c r="T184" s="30" t="s">
        <v>202</v>
      </c>
      <c r="U184" s="35" t="s">
        <v>638</v>
      </c>
    </row>
    <row r="185" spans="1:21" ht="48">
      <c r="A185" s="23">
        <f t="shared" si="6"/>
        <v>172</v>
      </c>
      <c r="B185" s="23" t="s">
        <v>639</v>
      </c>
      <c r="C185" s="35" t="s">
        <v>640</v>
      </c>
      <c r="D185" s="16" t="s">
        <v>76</v>
      </c>
      <c r="E185" s="16">
        <v>0</v>
      </c>
      <c r="F185" s="21" t="s">
        <v>199</v>
      </c>
      <c r="G185" s="16" t="s">
        <v>195</v>
      </c>
      <c r="H185" s="16" t="s">
        <v>79</v>
      </c>
      <c r="I185" s="23">
        <v>1</v>
      </c>
      <c r="J185" s="23">
        <v>0</v>
      </c>
      <c r="K185" s="23">
        <v>1</v>
      </c>
      <c r="L185" s="23">
        <v>0</v>
      </c>
      <c r="M185" s="23">
        <v>250</v>
      </c>
      <c r="N185" s="23">
        <v>15</v>
      </c>
      <c r="O185" s="23" t="s">
        <v>372</v>
      </c>
      <c r="P185" s="16" t="s">
        <v>81</v>
      </c>
      <c r="Q185" s="16"/>
      <c r="R185" s="16"/>
      <c r="S185" s="83" t="s">
        <v>135</v>
      </c>
      <c r="T185" s="30" t="s">
        <v>202</v>
      </c>
      <c r="U185" s="35" t="s">
        <v>641</v>
      </c>
    </row>
    <row r="186" spans="1:21" ht="48">
      <c r="A186" s="23">
        <f t="shared" si="6"/>
        <v>173</v>
      </c>
      <c r="B186" s="23" t="s">
        <v>642</v>
      </c>
      <c r="C186" s="35" t="s">
        <v>643</v>
      </c>
      <c r="D186" s="16" t="s">
        <v>76</v>
      </c>
      <c r="E186" s="16">
        <v>0</v>
      </c>
      <c r="F186" s="21" t="s">
        <v>199</v>
      </c>
      <c r="G186" s="16" t="s">
        <v>195</v>
      </c>
      <c r="H186" s="16" t="s">
        <v>79</v>
      </c>
      <c r="I186" s="23">
        <v>1</v>
      </c>
      <c r="J186" s="23">
        <v>0</v>
      </c>
      <c r="K186" s="23">
        <v>1</v>
      </c>
      <c r="L186" s="23">
        <v>0</v>
      </c>
      <c r="M186" s="23">
        <v>250</v>
      </c>
      <c r="N186" s="23">
        <v>30</v>
      </c>
      <c r="O186" s="23" t="s">
        <v>372</v>
      </c>
      <c r="P186" s="16" t="s">
        <v>81</v>
      </c>
      <c r="Q186" s="16"/>
      <c r="R186" s="16"/>
      <c r="S186" s="83" t="s">
        <v>135</v>
      </c>
      <c r="T186" s="30" t="s">
        <v>202</v>
      </c>
      <c r="U186" s="35" t="s">
        <v>644</v>
      </c>
    </row>
    <row r="187" spans="1:21" ht="48">
      <c r="A187" s="23">
        <f t="shared" si="6"/>
        <v>174</v>
      </c>
      <c r="B187" s="92" t="s">
        <v>645</v>
      </c>
      <c r="C187" s="93" t="s">
        <v>646</v>
      </c>
      <c r="D187" s="16" t="s">
        <v>76</v>
      </c>
      <c r="E187" s="16">
        <v>0</v>
      </c>
      <c r="F187" s="21" t="s">
        <v>199</v>
      </c>
      <c r="G187" s="16" t="s">
        <v>195</v>
      </c>
      <c r="H187" s="23" t="s">
        <v>210</v>
      </c>
      <c r="I187" s="23">
        <v>2</v>
      </c>
      <c r="J187" s="23">
        <v>0</v>
      </c>
      <c r="K187" s="23">
        <v>0.1</v>
      </c>
      <c r="L187" s="23">
        <v>5</v>
      </c>
      <c r="M187" s="23">
        <v>50</v>
      </c>
      <c r="N187" s="23">
        <v>25</v>
      </c>
      <c r="O187" s="23" t="s">
        <v>267</v>
      </c>
      <c r="P187" s="16" t="s">
        <v>81</v>
      </c>
      <c r="Q187" s="16"/>
      <c r="R187" s="16"/>
      <c r="S187" s="83" t="s">
        <v>135</v>
      </c>
      <c r="T187" s="85" t="s">
        <v>202</v>
      </c>
      <c r="U187" s="35" t="s">
        <v>647</v>
      </c>
    </row>
    <row r="188" spans="1:21" ht="48">
      <c r="A188" s="78">
        <f t="shared" si="6"/>
        <v>175</v>
      </c>
      <c r="B188" s="78" t="s">
        <v>648</v>
      </c>
      <c r="C188" s="63" t="s">
        <v>649</v>
      </c>
      <c r="D188" s="58" t="s">
        <v>76</v>
      </c>
      <c r="E188" s="58">
        <v>0</v>
      </c>
      <c r="F188" s="81" t="s">
        <v>199</v>
      </c>
      <c r="G188" s="58" t="s">
        <v>195</v>
      </c>
      <c r="H188" s="58" t="s">
        <v>79</v>
      </c>
      <c r="I188" s="78">
        <v>1</v>
      </c>
      <c r="J188" s="78">
        <v>-25</v>
      </c>
      <c r="K188" s="78">
        <v>0.1</v>
      </c>
      <c r="L188" s="78">
        <v>-25</v>
      </c>
      <c r="M188" s="78">
        <v>0</v>
      </c>
      <c r="N188" s="78">
        <v>-2</v>
      </c>
      <c r="O188" s="78" t="s">
        <v>267</v>
      </c>
      <c r="P188" s="58" t="s">
        <v>81</v>
      </c>
      <c r="Q188" s="58"/>
      <c r="R188" s="58"/>
      <c r="S188" s="84" t="s">
        <v>135</v>
      </c>
      <c r="T188" s="85" t="s">
        <v>196</v>
      </c>
      <c r="U188" s="63"/>
    </row>
    <row r="189" spans="1:21" ht="48">
      <c r="A189" s="78">
        <f t="shared" si="6"/>
        <v>176</v>
      </c>
      <c r="B189" s="78" t="s">
        <v>650</v>
      </c>
      <c r="C189" s="63" t="s">
        <v>651</v>
      </c>
      <c r="D189" s="58" t="s">
        <v>76</v>
      </c>
      <c r="E189" s="58">
        <v>0</v>
      </c>
      <c r="F189" s="81" t="s">
        <v>199</v>
      </c>
      <c r="G189" s="58" t="s">
        <v>195</v>
      </c>
      <c r="H189" s="58" t="s">
        <v>79</v>
      </c>
      <c r="I189" s="78">
        <v>1</v>
      </c>
      <c r="J189" s="78">
        <v>0</v>
      </c>
      <c r="K189" s="78">
        <v>0.1</v>
      </c>
      <c r="L189" s="78">
        <v>0</v>
      </c>
      <c r="M189" s="78">
        <v>25</v>
      </c>
      <c r="N189" s="78">
        <v>1</v>
      </c>
      <c r="O189" s="78" t="s">
        <v>267</v>
      </c>
      <c r="P189" s="58" t="s">
        <v>81</v>
      </c>
      <c r="Q189" s="58"/>
      <c r="R189" s="58"/>
      <c r="S189" s="84" t="s">
        <v>135</v>
      </c>
      <c r="T189" s="85" t="s">
        <v>196</v>
      </c>
      <c r="U189" s="63"/>
    </row>
    <row r="190" spans="1:21" ht="48">
      <c r="A190" s="23">
        <f t="shared" si="6"/>
        <v>177</v>
      </c>
      <c r="B190" s="23" t="s">
        <v>652</v>
      </c>
      <c r="C190" s="35" t="s">
        <v>653</v>
      </c>
      <c r="D190" s="16" t="s">
        <v>76</v>
      </c>
      <c r="E190" s="16">
        <v>0</v>
      </c>
      <c r="F190" s="21" t="s">
        <v>199</v>
      </c>
      <c r="G190" s="16" t="s">
        <v>195</v>
      </c>
      <c r="H190" s="16" t="s">
        <v>79</v>
      </c>
      <c r="I190" s="23">
        <v>1</v>
      </c>
      <c r="J190" s="23">
        <v>0</v>
      </c>
      <c r="K190" s="23">
        <v>1</v>
      </c>
      <c r="L190" s="23">
        <v>0</v>
      </c>
      <c r="M190" s="23">
        <v>250</v>
      </c>
      <c r="N190" s="23">
        <v>80</v>
      </c>
      <c r="O190" s="23" t="s">
        <v>372</v>
      </c>
      <c r="P190" s="16" t="s">
        <v>81</v>
      </c>
      <c r="Q190" s="16"/>
      <c r="R190" s="16"/>
      <c r="S190" s="83" t="s">
        <v>135</v>
      </c>
      <c r="T190" s="30" t="s">
        <v>196</v>
      </c>
      <c r="U190" s="35"/>
    </row>
    <row r="191" spans="1:21" ht="48">
      <c r="A191" s="23">
        <f t="shared" si="6"/>
        <v>178</v>
      </c>
      <c r="B191" s="23" t="s">
        <v>654</v>
      </c>
      <c r="C191" s="35" t="s">
        <v>655</v>
      </c>
      <c r="D191" s="16" t="s">
        <v>76</v>
      </c>
      <c r="E191" s="16">
        <v>0</v>
      </c>
      <c r="F191" s="21" t="s">
        <v>199</v>
      </c>
      <c r="G191" s="16" t="s">
        <v>195</v>
      </c>
      <c r="H191" s="16" t="s">
        <v>79</v>
      </c>
      <c r="I191" s="23">
        <v>1</v>
      </c>
      <c r="J191" s="23">
        <v>0</v>
      </c>
      <c r="K191" s="23">
        <v>1</v>
      </c>
      <c r="L191" s="23">
        <v>0</v>
      </c>
      <c r="M191" s="23">
        <v>1</v>
      </c>
      <c r="N191" s="23">
        <v>1</v>
      </c>
      <c r="O191" s="23" t="s">
        <v>80</v>
      </c>
      <c r="P191" s="16" t="s">
        <v>81</v>
      </c>
      <c r="Q191" s="16"/>
      <c r="R191" s="16"/>
      <c r="S191" s="83" t="s">
        <v>135</v>
      </c>
      <c r="T191" s="30" t="s">
        <v>202</v>
      </c>
      <c r="U191" s="35"/>
    </row>
    <row r="192" spans="1:21" ht="48">
      <c r="A192" s="23">
        <f t="shared" si="6"/>
        <v>179</v>
      </c>
      <c r="B192" s="23" t="s">
        <v>656</v>
      </c>
      <c r="C192" s="35" t="s">
        <v>657</v>
      </c>
      <c r="D192" s="16" t="s">
        <v>76</v>
      </c>
      <c r="E192" s="16">
        <v>0</v>
      </c>
      <c r="F192" s="21" t="s">
        <v>199</v>
      </c>
      <c r="G192" s="16" t="s">
        <v>195</v>
      </c>
      <c r="H192" s="16" t="s">
        <v>79</v>
      </c>
      <c r="I192" s="23">
        <v>1</v>
      </c>
      <c r="J192" s="23">
        <v>0</v>
      </c>
      <c r="K192" s="23">
        <v>1</v>
      </c>
      <c r="L192" s="23">
        <v>0</v>
      </c>
      <c r="M192" s="23">
        <v>5</v>
      </c>
      <c r="N192" s="23">
        <v>0</v>
      </c>
      <c r="O192" s="23" t="s">
        <v>80</v>
      </c>
      <c r="P192" s="16" t="s">
        <v>81</v>
      </c>
      <c r="Q192" s="16"/>
      <c r="R192" s="16"/>
      <c r="S192" s="83" t="s">
        <v>135</v>
      </c>
      <c r="T192" s="30" t="s">
        <v>252</v>
      </c>
      <c r="U192" s="35"/>
    </row>
    <row r="193" spans="1:21" ht="48">
      <c r="A193" s="23">
        <f t="shared" si="6"/>
        <v>180</v>
      </c>
      <c r="B193" s="78" t="s">
        <v>658</v>
      </c>
      <c r="C193" s="35" t="s">
        <v>659</v>
      </c>
      <c r="D193" s="16" t="s">
        <v>76</v>
      </c>
      <c r="E193" s="16">
        <v>0</v>
      </c>
      <c r="F193" s="21" t="s">
        <v>199</v>
      </c>
      <c r="G193" s="16" t="s">
        <v>195</v>
      </c>
      <c r="H193" s="16" t="s">
        <v>79</v>
      </c>
      <c r="I193" s="23">
        <v>1</v>
      </c>
      <c r="J193" s="23">
        <v>0</v>
      </c>
      <c r="K193" s="23">
        <v>1</v>
      </c>
      <c r="L193" s="23">
        <v>0</v>
      </c>
      <c r="M193" s="23">
        <v>1</v>
      </c>
      <c r="N193" s="23">
        <v>0</v>
      </c>
      <c r="O193" s="23" t="s">
        <v>80</v>
      </c>
      <c r="P193" s="16" t="s">
        <v>81</v>
      </c>
      <c r="Q193" s="16"/>
      <c r="R193" s="16"/>
      <c r="S193" s="83" t="s">
        <v>135</v>
      </c>
      <c r="T193" s="30" t="s">
        <v>252</v>
      </c>
      <c r="U193" s="35"/>
    </row>
    <row r="194" spans="1:21" s="73" customFormat="1" ht="48">
      <c r="A194" s="23">
        <f t="shared" si="6"/>
        <v>181</v>
      </c>
      <c r="B194" s="78" t="s">
        <v>660</v>
      </c>
      <c r="C194" s="35" t="s">
        <v>661</v>
      </c>
      <c r="D194" s="16" t="s">
        <v>76</v>
      </c>
      <c r="E194" s="16">
        <v>0</v>
      </c>
      <c r="F194" s="21" t="s">
        <v>199</v>
      </c>
      <c r="G194" s="16" t="s">
        <v>195</v>
      </c>
      <c r="H194" s="16" t="s">
        <v>79</v>
      </c>
      <c r="I194" s="78">
        <v>1</v>
      </c>
      <c r="J194" s="78">
        <v>0</v>
      </c>
      <c r="K194" s="78">
        <v>0.1</v>
      </c>
      <c r="L194" s="23">
        <v>0</v>
      </c>
      <c r="M194" s="78">
        <v>6</v>
      </c>
      <c r="N194" s="78">
        <v>0</v>
      </c>
      <c r="O194" s="78" t="s">
        <v>80</v>
      </c>
      <c r="P194" s="23" t="s">
        <v>119</v>
      </c>
      <c r="Q194" s="23"/>
      <c r="R194" s="23"/>
      <c r="S194" s="83" t="s">
        <v>83</v>
      </c>
      <c r="T194" s="30" t="s">
        <v>84</v>
      </c>
      <c r="U194" s="63"/>
    </row>
    <row r="195" spans="1:21" s="74" customFormat="1" ht="48">
      <c r="A195" s="23">
        <f t="shared" si="6"/>
        <v>182</v>
      </c>
      <c r="B195" s="78" t="s">
        <v>662</v>
      </c>
      <c r="C195" s="63" t="s">
        <v>663</v>
      </c>
      <c r="D195" s="16" t="s">
        <v>76</v>
      </c>
      <c r="E195" s="16">
        <v>0</v>
      </c>
      <c r="F195" s="21" t="s">
        <v>199</v>
      </c>
      <c r="G195" s="16" t="s">
        <v>195</v>
      </c>
      <c r="H195" s="16" t="s">
        <v>79</v>
      </c>
      <c r="I195" s="23">
        <v>1</v>
      </c>
      <c r="J195" s="23">
        <v>0</v>
      </c>
      <c r="K195" s="23">
        <v>1</v>
      </c>
      <c r="L195" s="23">
        <v>0</v>
      </c>
      <c r="M195" s="23">
        <v>100</v>
      </c>
      <c r="N195" s="23">
        <v>100</v>
      </c>
      <c r="O195" s="23" t="s">
        <v>316</v>
      </c>
      <c r="P195" s="23" t="s">
        <v>119</v>
      </c>
      <c r="Q195" s="23"/>
      <c r="R195" s="23"/>
      <c r="S195" s="83" t="s">
        <v>83</v>
      </c>
      <c r="T195" s="30" t="s">
        <v>84</v>
      </c>
      <c r="U195" s="35"/>
    </row>
    <row r="196" spans="1:21" s="71" customFormat="1" ht="48">
      <c r="A196" s="40">
        <f t="shared" si="6"/>
        <v>183</v>
      </c>
      <c r="B196" s="40" t="s">
        <v>664</v>
      </c>
      <c r="C196" s="80" t="s">
        <v>665</v>
      </c>
      <c r="D196" s="36" t="s">
        <v>76</v>
      </c>
      <c r="E196" s="36">
        <v>0</v>
      </c>
      <c r="F196" s="39" t="s">
        <v>199</v>
      </c>
      <c r="G196" s="36" t="s">
        <v>195</v>
      </c>
      <c r="H196" s="36" t="s">
        <v>79</v>
      </c>
      <c r="I196" s="40">
        <v>1</v>
      </c>
      <c r="J196" s="40">
        <v>0</v>
      </c>
      <c r="K196" s="40">
        <v>1</v>
      </c>
      <c r="L196" s="40">
        <v>0</v>
      </c>
      <c r="M196" s="40">
        <v>1</v>
      </c>
      <c r="N196" s="40">
        <v>1</v>
      </c>
      <c r="O196" s="40" t="s">
        <v>80</v>
      </c>
      <c r="P196" s="36" t="s">
        <v>81</v>
      </c>
      <c r="Q196" s="36"/>
      <c r="R196" s="36"/>
      <c r="S196" s="86" t="s">
        <v>135</v>
      </c>
      <c r="T196" s="43" t="s">
        <v>196</v>
      </c>
      <c r="U196" s="80"/>
    </row>
    <row r="197" spans="1:21" s="71" customFormat="1" ht="48">
      <c r="A197" s="94">
        <f t="shared" si="6"/>
        <v>184</v>
      </c>
      <c r="B197" s="94" t="s">
        <v>666</v>
      </c>
      <c r="C197" s="95" t="s">
        <v>667</v>
      </c>
      <c r="D197" s="96" t="s">
        <v>76</v>
      </c>
      <c r="E197" s="96">
        <v>0</v>
      </c>
      <c r="F197" s="97" t="s">
        <v>199</v>
      </c>
      <c r="G197" s="96" t="s">
        <v>195</v>
      </c>
      <c r="H197" s="96" t="s">
        <v>79</v>
      </c>
      <c r="I197" s="94">
        <v>1</v>
      </c>
      <c r="J197" s="94">
        <v>0</v>
      </c>
      <c r="K197" s="94">
        <v>1</v>
      </c>
      <c r="L197" s="94">
        <v>0</v>
      </c>
      <c r="M197" s="94">
        <v>1</v>
      </c>
      <c r="N197" s="94">
        <v>1</v>
      </c>
      <c r="O197" s="94" t="s">
        <v>80</v>
      </c>
      <c r="P197" s="96" t="s">
        <v>81</v>
      </c>
      <c r="Q197" s="96"/>
      <c r="R197" s="96"/>
      <c r="S197" s="99" t="s">
        <v>135</v>
      </c>
      <c r="T197" s="100" t="s">
        <v>252</v>
      </c>
      <c r="U197" s="95"/>
    </row>
    <row r="198" spans="1:21" s="71" customFormat="1" ht="48">
      <c r="A198" s="94">
        <f t="shared" si="6"/>
        <v>185</v>
      </c>
      <c r="B198" s="94" t="s">
        <v>668</v>
      </c>
      <c r="C198" s="95" t="s">
        <v>669</v>
      </c>
      <c r="D198" s="96" t="s">
        <v>76</v>
      </c>
      <c r="E198" s="96">
        <v>0</v>
      </c>
      <c r="F198" s="97" t="s">
        <v>199</v>
      </c>
      <c r="G198" s="96" t="s">
        <v>195</v>
      </c>
      <c r="H198" s="96" t="s">
        <v>79</v>
      </c>
      <c r="I198" s="94">
        <v>1</v>
      </c>
      <c r="J198" s="94">
        <v>0</v>
      </c>
      <c r="K198" s="94">
        <v>1</v>
      </c>
      <c r="L198" s="94">
        <v>0</v>
      </c>
      <c r="M198" s="94">
        <v>1</v>
      </c>
      <c r="N198" s="94">
        <v>1</v>
      </c>
      <c r="O198" s="94" t="s">
        <v>80</v>
      </c>
      <c r="P198" s="96" t="s">
        <v>81</v>
      </c>
      <c r="Q198" s="96"/>
      <c r="R198" s="96"/>
      <c r="S198" s="99" t="s">
        <v>135</v>
      </c>
      <c r="T198" s="100" t="s">
        <v>196</v>
      </c>
      <c r="U198" s="95"/>
    </row>
    <row r="199" spans="1:21" s="71" customFormat="1" ht="36" customHeight="1">
      <c r="A199" s="77" t="s">
        <v>670</v>
      </c>
      <c r="B199" s="77"/>
      <c r="C199" s="77"/>
      <c r="D199" s="77"/>
      <c r="E199" s="77"/>
      <c r="F199" s="77"/>
      <c r="G199" s="77"/>
      <c r="H199" s="77"/>
      <c r="I199" s="77"/>
      <c r="J199" s="77"/>
      <c r="K199" s="82"/>
      <c r="L199" s="77"/>
      <c r="M199" s="82"/>
      <c r="N199" s="82"/>
      <c r="O199" s="82"/>
      <c r="P199" s="77"/>
      <c r="Q199" s="77"/>
      <c r="R199" s="77"/>
      <c r="S199" s="77"/>
      <c r="T199" s="32"/>
      <c r="U199" s="88"/>
    </row>
    <row r="200" spans="1:21" s="71" customFormat="1" ht="187">
      <c r="A200" s="40">
        <f>A196+1</f>
        <v>184</v>
      </c>
      <c r="B200" s="40" t="s">
        <v>671</v>
      </c>
      <c r="C200" s="80" t="s">
        <v>672</v>
      </c>
      <c r="D200" s="36" t="s">
        <v>76</v>
      </c>
      <c r="E200" s="36">
        <v>0</v>
      </c>
      <c r="F200" s="39" t="s">
        <v>199</v>
      </c>
      <c r="G200" s="36" t="s">
        <v>195</v>
      </c>
      <c r="H200" s="36" t="s">
        <v>79</v>
      </c>
      <c r="I200" s="40">
        <v>1</v>
      </c>
      <c r="J200" s="40">
        <v>0</v>
      </c>
      <c r="K200" s="40">
        <v>1</v>
      </c>
      <c r="L200" s="40">
        <v>0</v>
      </c>
      <c r="M200" s="40">
        <v>4</v>
      </c>
      <c r="N200" s="40">
        <v>0</v>
      </c>
      <c r="O200" s="40" t="s">
        <v>80</v>
      </c>
      <c r="P200" s="36" t="s">
        <v>81</v>
      </c>
      <c r="Q200" s="40"/>
      <c r="R200" s="40"/>
      <c r="S200" s="86" t="s">
        <v>135</v>
      </c>
      <c r="T200" s="43" t="s">
        <v>196</v>
      </c>
      <c r="U200" s="80" t="s">
        <v>673</v>
      </c>
    </row>
    <row r="201" spans="1:21" s="71" customFormat="1" ht="48">
      <c r="A201" s="40">
        <f>A200+1</f>
        <v>185</v>
      </c>
      <c r="B201" s="40" t="s">
        <v>674</v>
      </c>
      <c r="C201" s="80" t="s">
        <v>675</v>
      </c>
      <c r="D201" s="36" t="s">
        <v>76</v>
      </c>
      <c r="E201" s="36">
        <v>0</v>
      </c>
      <c r="F201" s="39" t="s">
        <v>199</v>
      </c>
      <c r="G201" s="36" t="s">
        <v>195</v>
      </c>
      <c r="H201" s="36" t="s">
        <v>210</v>
      </c>
      <c r="I201" s="40">
        <v>2</v>
      </c>
      <c r="J201" s="40">
        <v>0</v>
      </c>
      <c r="K201" s="40">
        <v>0.1</v>
      </c>
      <c r="L201" s="40">
        <v>0</v>
      </c>
      <c r="M201" s="40">
        <v>99.9</v>
      </c>
      <c r="N201" s="40">
        <v>10</v>
      </c>
      <c r="O201" s="40" t="s">
        <v>267</v>
      </c>
      <c r="P201" s="36" t="s">
        <v>81</v>
      </c>
      <c r="Q201" s="40"/>
      <c r="R201" s="40"/>
      <c r="S201" s="86" t="s">
        <v>135</v>
      </c>
      <c r="T201" s="43" t="s">
        <v>196</v>
      </c>
      <c r="U201" s="80" t="s">
        <v>676</v>
      </c>
    </row>
    <row r="202" spans="1:21" s="71" customFormat="1" ht="48">
      <c r="A202" s="40">
        <f>A201+1</f>
        <v>186</v>
      </c>
      <c r="B202" s="40" t="s">
        <v>677</v>
      </c>
      <c r="C202" s="80" t="s">
        <v>678</v>
      </c>
      <c r="D202" s="36" t="s">
        <v>76</v>
      </c>
      <c r="E202" s="36">
        <v>0</v>
      </c>
      <c r="F202" s="39" t="s">
        <v>199</v>
      </c>
      <c r="G202" s="36" t="s">
        <v>195</v>
      </c>
      <c r="H202" s="36" t="s">
        <v>210</v>
      </c>
      <c r="I202" s="40">
        <v>2</v>
      </c>
      <c r="J202" s="40">
        <v>0</v>
      </c>
      <c r="K202" s="40">
        <v>0.1</v>
      </c>
      <c r="L202" s="40">
        <v>0</v>
      </c>
      <c r="M202" s="40">
        <v>99.9</v>
      </c>
      <c r="N202" s="40">
        <v>5</v>
      </c>
      <c r="O202" s="40" t="s">
        <v>267</v>
      </c>
      <c r="P202" s="36" t="s">
        <v>81</v>
      </c>
      <c r="Q202" s="40"/>
      <c r="R202" s="40"/>
      <c r="S202" s="86" t="s">
        <v>135</v>
      </c>
      <c r="T202" s="43" t="s">
        <v>196</v>
      </c>
      <c r="U202" s="80" t="s">
        <v>679</v>
      </c>
    </row>
    <row r="203" spans="1:21" s="71" customFormat="1" ht="36" customHeight="1">
      <c r="A203" s="77" t="s">
        <v>680</v>
      </c>
      <c r="B203" s="77"/>
      <c r="C203" s="77"/>
      <c r="D203" s="77"/>
      <c r="E203" s="77"/>
      <c r="F203" s="77"/>
      <c r="G203" s="77"/>
      <c r="H203" s="77"/>
      <c r="I203" s="77"/>
      <c r="J203" s="77"/>
      <c r="K203" s="82"/>
      <c r="L203" s="77"/>
      <c r="M203" s="82"/>
      <c r="N203" s="82"/>
      <c r="O203" s="82"/>
      <c r="P203" s="77"/>
      <c r="Q203" s="77"/>
      <c r="R203" s="77"/>
      <c r="S203" s="77"/>
      <c r="T203" s="32"/>
      <c r="U203" s="88"/>
    </row>
    <row r="204" spans="1:21" ht="51">
      <c r="A204" s="23">
        <f>A202+1</f>
        <v>187</v>
      </c>
      <c r="B204" s="23" t="s">
        <v>681</v>
      </c>
      <c r="C204" s="35" t="s">
        <v>682</v>
      </c>
      <c r="D204" s="16" t="s">
        <v>76</v>
      </c>
      <c r="E204" s="16">
        <v>0</v>
      </c>
      <c r="F204" s="21" t="s">
        <v>199</v>
      </c>
      <c r="G204" s="16" t="s">
        <v>195</v>
      </c>
      <c r="H204" s="16" t="s">
        <v>79</v>
      </c>
      <c r="I204" s="23">
        <v>1</v>
      </c>
      <c r="J204" s="23">
        <v>0</v>
      </c>
      <c r="K204" s="23">
        <v>1</v>
      </c>
      <c r="L204" s="23">
        <v>0</v>
      </c>
      <c r="M204" s="23">
        <v>1</v>
      </c>
      <c r="N204" s="23">
        <v>1</v>
      </c>
      <c r="O204" s="23" t="s">
        <v>80</v>
      </c>
      <c r="P204" s="16" t="s">
        <v>81</v>
      </c>
      <c r="Q204" s="16"/>
      <c r="R204" s="16"/>
      <c r="S204" s="83" t="s">
        <v>135</v>
      </c>
      <c r="T204" s="30" t="s">
        <v>202</v>
      </c>
      <c r="U204" s="35" t="s">
        <v>683</v>
      </c>
    </row>
    <row r="205" spans="1:21" ht="48">
      <c r="A205" s="23">
        <f t="shared" ref="A205:A207" si="7">A204+1</f>
        <v>188</v>
      </c>
      <c r="B205" s="78" t="s">
        <v>684</v>
      </c>
      <c r="C205" s="63" t="s">
        <v>685</v>
      </c>
      <c r="D205" s="58" t="s">
        <v>76</v>
      </c>
      <c r="E205" s="58">
        <v>0</v>
      </c>
      <c r="F205" s="81" t="s">
        <v>199</v>
      </c>
      <c r="G205" s="58" t="s">
        <v>195</v>
      </c>
      <c r="H205" s="78" t="s">
        <v>210</v>
      </c>
      <c r="I205" s="78">
        <v>2</v>
      </c>
      <c r="J205" s="78">
        <v>0</v>
      </c>
      <c r="K205" s="78">
        <v>0.1</v>
      </c>
      <c r="L205" s="78">
        <v>1</v>
      </c>
      <c r="M205" s="78">
        <v>6</v>
      </c>
      <c r="N205" s="78">
        <v>5</v>
      </c>
      <c r="O205" s="78" t="s">
        <v>267</v>
      </c>
      <c r="P205" s="58" t="s">
        <v>81</v>
      </c>
      <c r="Q205" s="58"/>
      <c r="R205" s="58"/>
      <c r="S205" s="84" t="s">
        <v>135</v>
      </c>
      <c r="T205" s="85" t="s">
        <v>202</v>
      </c>
      <c r="U205" s="63"/>
    </row>
    <row r="206" spans="1:21" ht="48">
      <c r="A206" s="23">
        <f t="shared" si="7"/>
        <v>189</v>
      </c>
      <c r="B206" s="23" t="s">
        <v>686</v>
      </c>
      <c r="C206" s="35" t="s">
        <v>687</v>
      </c>
      <c r="D206" s="16" t="s">
        <v>76</v>
      </c>
      <c r="E206" s="16">
        <v>0</v>
      </c>
      <c r="F206" s="21" t="s">
        <v>199</v>
      </c>
      <c r="G206" s="16" t="s">
        <v>195</v>
      </c>
      <c r="H206" s="23" t="s">
        <v>210</v>
      </c>
      <c r="I206" s="23">
        <v>2</v>
      </c>
      <c r="J206" s="23">
        <v>0</v>
      </c>
      <c r="K206" s="23">
        <v>1</v>
      </c>
      <c r="L206" s="23">
        <v>0</v>
      </c>
      <c r="M206" s="23">
        <v>1000</v>
      </c>
      <c r="N206" s="23">
        <v>250</v>
      </c>
      <c r="O206" s="23" t="s">
        <v>243</v>
      </c>
      <c r="P206" s="16" t="s">
        <v>81</v>
      </c>
      <c r="Q206" s="16"/>
      <c r="R206" s="16"/>
      <c r="S206" s="83" t="s">
        <v>135</v>
      </c>
      <c r="T206" s="30" t="s">
        <v>202</v>
      </c>
      <c r="U206" s="35"/>
    </row>
    <row r="207" spans="1:21" ht="48">
      <c r="A207" s="23">
        <f t="shared" si="7"/>
        <v>190</v>
      </c>
      <c r="B207" s="23" t="s">
        <v>688</v>
      </c>
      <c r="C207" s="90" t="s">
        <v>689</v>
      </c>
      <c r="D207" s="16" t="s">
        <v>76</v>
      </c>
      <c r="E207" s="16">
        <v>0</v>
      </c>
      <c r="F207" s="21" t="s">
        <v>199</v>
      </c>
      <c r="G207" s="16" t="s">
        <v>195</v>
      </c>
      <c r="H207" s="23" t="s">
        <v>210</v>
      </c>
      <c r="I207" s="98">
        <v>2</v>
      </c>
      <c r="J207" s="98">
        <v>0</v>
      </c>
      <c r="K207" s="98">
        <v>1</v>
      </c>
      <c r="L207" s="98">
        <v>0</v>
      </c>
      <c r="M207" s="98">
        <v>3</v>
      </c>
      <c r="N207" s="98">
        <v>0</v>
      </c>
      <c r="O207" s="98" t="s">
        <v>80</v>
      </c>
      <c r="P207" s="98" t="s">
        <v>81</v>
      </c>
      <c r="Q207" s="98"/>
      <c r="R207" s="98"/>
      <c r="S207" s="83" t="s">
        <v>83</v>
      </c>
      <c r="T207" s="30" t="s">
        <v>84</v>
      </c>
      <c r="U207" s="90"/>
    </row>
    <row r="208" spans="1:21" s="71" customFormat="1" ht="36.5" customHeight="1">
      <c r="A208" s="89" t="s">
        <v>690</v>
      </c>
      <c r="B208" s="77"/>
      <c r="C208" s="77"/>
      <c r="D208" s="77"/>
      <c r="E208" s="77"/>
      <c r="F208" s="77"/>
      <c r="G208" s="77"/>
      <c r="H208" s="77"/>
      <c r="I208" s="77"/>
      <c r="J208" s="77"/>
      <c r="K208" s="82"/>
      <c r="L208" s="77"/>
      <c r="M208" s="82"/>
      <c r="N208" s="82"/>
      <c r="O208" s="82"/>
      <c r="P208" s="77"/>
      <c r="Q208" s="77"/>
      <c r="R208" s="77"/>
      <c r="S208" s="77"/>
      <c r="T208" s="32"/>
      <c r="U208" s="88"/>
    </row>
    <row r="209" spans="1:21" s="10" customFormat="1" ht="48">
      <c r="A209" s="23">
        <f>A207+1</f>
        <v>191</v>
      </c>
      <c r="B209" s="16" t="s">
        <v>691</v>
      </c>
      <c r="C209" s="34" t="s">
        <v>692</v>
      </c>
      <c r="D209" s="16" t="s">
        <v>76</v>
      </c>
      <c r="E209" s="16">
        <v>0</v>
      </c>
      <c r="F209" s="21" t="s">
        <v>199</v>
      </c>
      <c r="G209" s="16" t="s">
        <v>195</v>
      </c>
      <c r="H209" s="16" t="s">
        <v>79</v>
      </c>
      <c r="I209" s="16">
        <v>1</v>
      </c>
      <c r="J209" s="16">
        <v>0</v>
      </c>
      <c r="K209" s="16">
        <v>1</v>
      </c>
      <c r="L209" s="23">
        <v>0</v>
      </c>
      <c r="M209" s="16">
        <v>1</v>
      </c>
      <c r="N209" s="16">
        <v>1</v>
      </c>
      <c r="O209" s="16" t="s">
        <v>80</v>
      </c>
      <c r="P209" s="16" t="s">
        <v>81</v>
      </c>
      <c r="Q209" s="16"/>
      <c r="R209" s="16"/>
      <c r="S209" s="83" t="s">
        <v>135</v>
      </c>
      <c r="T209" s="30" t="s">
        <v>196</v>
      </c>
      <c r="U209" s="34"/>
    </row>
    <row r="210" spans="1:21" ht="48">
      <c r="A210" s="23">
        <f t="shared" ref="A210:A228" si="8">A209+1</f>
        <v>192</v>
      </c>
      <c r="B210" s="23" t="s">
        <v>693</v>
      </c>
      <c r="C210" s="35" t="s">
        <v>694</v>
      </c>
      <c r="D210" s="16" t="s">
        <v>76</v>
      </c>
      <c r="E210" s="16">
        <v>0</v>
      </c>
      <c r="F210" s="21" t="s">
        <v>199</v>
      </c>
      <c r="G210" s="16" t="s">
        <v>195</v>
      </c>
      <c r="H210" s="23" t="s">
        <v>210</v>
      </c>
      <c r="I210" s="23">
        <v>2</v>
      </c>
      <c r="J210" s="23">
        <v>0</v>
      </c>
      <c r="K210" s="23">
        <v>0.1</v>
      </c>
      <c r="L210" s="23">
        <v>0</v>
      </c>
      <c r="M210" s="23">
        <v>200</v>
      </c>
      <c r="N210" s="23">
        <v>80</v>
      </c>
      <c r="O210" s="23" t="s">
        <v>695</v>
      </c>
      <c r="P210" s="16" t="s">
        <v>81</v>
      </c>
      <c r="Q210" s="16"/>
      <c r="R210" s="16"/>
      <c r="S210" s="83" t="s">
        <v>135</v>
      </c>
      <c r="T210" s="30" t="s">
        <v>196</v>
      </c>
      <c r="U210" s="35"/>
    </row>
    <row r="211" spans="1:21" ht="48">
      <c r="A211" s="23">
        <f t="shared" si="8"/>
        <v>193</v>
      </c>
      <c r="B211" s="23" t="s">
        <v>696</v>
      </c>
      <c r="C211" s="35" t="s">
        <v>697</v>
      </c>
      <c r="D211" s="16" t="s">
        <v>76</v>
      </c>
      <c r="E211" s="16">
        <v>0</v>
      </c>
      <c r="F211" s="21" t="s">
        <v>199</v>
      </c>
      <c r="G211" s="16" t="s">
        <v>195</v>
      </c>
      <c r="H211" s="23" t="s">
        <v>210</v>
      </c>
      <c r="I211" s="23">
        <v>2</v>
      </c>
      <c r="J211" s="23">
        <v>0</v>
      </c>
      <c r="K211" s="23">
        <v>0.1</v>
      </c>
      <c r="L211" s="23">
        <v>0</v>
      </c>
      <c r="M211" s="23">
        <v>200</v>
      </c>
      <c r="N211" s="23">
        <v>100</v>
      </c>
      <c r="O211" s="23" t="s">
        <v>695</v>
      </c>
      <c r="P211" s="16" t="s">
        <v>81</v>
      </c>
      <c r="Q211" s="16"/>
      <c r="R211" s="16"/>
      <c r="S211" s="83" t="s">
        <v>135</v>
      </c>
      <c r="T211" s="30" t="s">
        <v>196</v>
      </c>
      <c r="U211" s="35"/>
    </row>
    <row r="212" spans="1:21" ht="48">
      <c r="A212" s="23">
        <f t="shared" si="8"/>
        <v>194</v>
      </c>
      <c r="B212" s="23" t="s">
        <v>698</v>
      </c>
      <c r="C212" s="35" t="s">
        <v>699</v>
      </c>
      <c r="D212" s="16" t="s">
        <v>76</v>
      </c>
      <c r="E212" s="16">
        <v>0</v>
      </c>
      <c r="F212" s="21" t="s">
        <v>199</v>
      </c>
      <c r="G212" s="16" t="s">
        <v>195</v>
      </c>
      <c r="H212" s="23" t="s">
        <v>210</v>
      </c>
      <c r="I212" s="23">
        <v>2</v>
      </c>
      <c r="J212" s="23">
        <v>-40</v>
      </c>
      <c r="K212" s="23">
        <v>0.1</v>
      </c>
      <c r="L212" s="23">
        <v>-40</v>
      </c>
      <c r="M212" s="23">
        <v>200</v>
      </c>
      <c r="N212" s="23">
        <v>0</v>
      </c>
      <c r="O212" s="23" t="s">
        <v>695</v>
      </c>
      <c r="P212" s="23" t="s">
        <v>119</v>
      </c>
      <c r="Q212" s="16"/>
      <c r="R212" s="16"/>
      <c r="S212" s="83" t="s">
        <v>135</v>
      </c>
      <c r="T212" s="30" t="s">
        <v>252</v>
      </c>
      <c r="U212" s="35"/>
    </row>
    <row r="213" spans="1:21" ht="48">
      <c r="A213" s="23">
        <f t="shared" si="8"/>
        <v>195</v>
      </c>
      <c r="B213" s="23" t="s">
        <v>700</v>
      </c>
      <c r="C213" s="35" t="s">
        <v>701</v>
      </c>
      <c r="D213" s="16" t="s">
        <v>76</v>
      </c>
      <c r="E213" s="16">
        <v>0</v>
      </c>
      <c r="F213" s="21" t="s">
        <v>199</v>
      </c>
      <c r="G213" s="16" t="s">
        <v>195</v>
      </c>
      <c r="H213" s="23" t="s">
        <v>210</v>
      </c>
      <c r="I213" s="23">
        <v>2</v>
      </c>
      <c r="J213" s="23">
        <v>-40</v>
      </c>
      <c r="K213" s="23">
        <v>0.1</v>
      </c>
      <c r="L213" s="23">
        <v>-40</v>
      </c>
      <c r="M213" s="23">
        <v>200</v>
      </c>
      <c r="N213" s="23">
        <v>0</v>
      </c>
      <c r="O213" s="23" t="s">
        <v>695</v>
      </c>
      <c r="P213" s="23" t="s">
        <v>119</v>
      </c>
      <c r="Q213" s="23"/>
      <c r="R213" s="23"/>
      <c r="S213" s="83" t="s">
        <v>83</v>
      </c>
      <c r="T213" s="30" t="s">
        <v>84</v>
      </c>
      <c r="U213" s="35"/>
    </row>
    <row r="214" spans="1:21" ht="48">
      <c r="A214" s="23">
        <f t="shared" si="8"/>
        <v>196</v>
      </c>
      <c r="B214" s="23" t="s">
        <v>702</v>
      </c>
      <c r="C214" s="35" t="s">
        <v>703</v>
      </c>
      <c r="D214" s="16" t="s">
        <v>76</v>
      </c>
      <c r="E214" s="16">
        <v>0</v>
      </c>
      <c r="F214" s="21" t="s">
        <v>199</v>
      </c>
      <c r="G214" s="16" t="s">
        <v>195</v>
      </c>
      <c r="H214" s="16" t="s">
        <v>79</v>
      </c>
      <c r="I214" s="23">
        <v>1</v>
      </c>
      <c r="J214" s="23">
        <v>0</v>
      </c>
      <c r="K214" s="23">
        <v>1</v>
      </c>
      <c r="L214" s="23">
        <v>0</v>
      </c>
      <c r="M214" s="23">
        <v>100</v>
      </c>
      <c r="N214" s="23">
        <v>100</v>
      </c>
      <c r="O214" s="23" t="s">
        <v>316</v>
      </c>
      <c r="P214" s="23" t="s">
        <v>119</v>
      </c>
      <c r="Q214" s="23"/>
      <c r="R214" s="23"/>
      <c r="S214" s="83" t="s">
        <v>83</v>
      </c>
      <c r="T214" s="30" t="s">
        <v>84</v>
      </c>
      <c r="U214" s="35"/>
    </row>
    <row r="215" spans="1:21" s="10" customFormat="1" ht="48">
      <c r="A215" s="23">
        <f t="shared" si="8"/>
        <v>197</v>
      </c>
      <c r="B215" s="23" t="s">
        <v>704</v>
      </c>
      <c r="C215" s="35" t="s">
        <v>705</v>
      </c>
      <c r="D215" s="16" t="s">
        <v>76</v>
      </c>
      <c r="E215" s="16">
        <v>0</v>
      </c>
      <c r="F215" s="21" t="s">
        <v>199</v>
      </c>
      <c r="G215" s="16" t="s">
        <v>195</v>
      </c>
      <c r="H215" s="16" t="s">
        <v>79</v>
      </c>
      <c r="I215" s="23">
        <v>1</v>
      </c>
      <c r="J215" s="23">
        <v>0</v>
      </c>
      <c r="K215" s="23">
        <v>1</v>
      </c>
      <c r="L215" s="23">
        <v>0</v>
      </c>
      <c r="M215" s="23">
        <v>1</v>
      </c>
      <c r="N215" s="23">
        <v>1</v>
      </c>
      <c r="O215" s="23" t="s">
        <v>80</v>
      </c>
      <c r="P215" s="16" t="s">
        <v>81</v>
      </c>
      <c r="Q215" s="16"/>
      <c r="R215" s="16"/>
      <c r="S215" s="83" t="s">
        <v>135</v>
      </c>
      <c r="T215" s="30" t="s">
        <v>196</v>
      </c>
      <c r="U215" s="35"/>
    </row>
    <row r="216" spans="1:21" ht="48">
      <c r="A216" s="23">
        <f t="shared" si="8"/>
        <v>198</v>
      </c>
      <c r="B216" s="23" t="s">
        <v>706</v>
      </c>
      <c r="C216" s="35" t="s">
        <v>707</v>
      </c>
      <c r="D216" s="16" t="s">
        <v>76</v>
      </c>
      <c r="E216" s="16">
        <v>0</v>
      </c>
      <c r="F216" s="21" t="s">
        <v>199</v>
      </c>
      <c r="G216" s="16" t="s">
        <v>195</v>
      </c>
      <c r="H216" s="23" t="s">
        <v>210</v>
      </c>
      <c r="I216" s="23">
        <v>2</v>
      </c>
      <c r="J216" s="23">
        <v>0</v>
      </c>
      <c r="K216" s="23">
        <v>0.1</v>
      </c>
      <c r="L216" s="23">
        <v>0</v>
      </c>
      <c r="M216" s="23">
        <v>200</v>
      </c>
      <c r="N216" s="23">
        <v>80</v>
      </c>
      <c r="O216" s="23" t="s">
        <v>695</v>
      </c>
      <c r="P216" s="16" t="s">
        <v>81</v>
      </c>
      <c r="Q216" s="16"/>
      <c r="R216" s="16"/>
      <c r="S216" s="83" t="s">
        <v>135</v>
      </c>
      <c r="T216" s="30" t="s">
        <v>196</v>
      </c>
      <c r="U216" s="35"/>
    </row>
    <row r="217" spans="1:21" ht="48">
      <c r="A217" s="23">
        <f t="shared" si="8"/>
        <v>199</v>
      </c>
      <c r="B217" s="23" t="s">
        <v>708</v>
      </c>
      <c r="C217" s="35" t="s">
        <v>709</v>
      </c>
      <c r="D217" s="16" t="s">
        <v>76</v>
      </c>
      <c r="E217" s="16">
        <v>0</v>
      </c>
      <c r="F217" s="21" t="s">
        <v>199</v>
      </c>
      <c r="G217" s="16" t="s">
        <v>195</v>
      </c>
      <c r="H217" s="23" t="s">
        <v>210</v>
      </c>
      <c r="I217" s="23">
        <v>2</v>
      </c>
      <c r="J217" s="23">
        <v>0</v>
      </c>
      <c r="K217" s="23">
        <v>0.1</v>
      </c>
      <c r="L217" s="23">
        <v>0</v>
      </c>
      <c r="M217" s="23">
        <v>200</v>
      </c>
      <c r="N217" s="23">
        <v>110</v>
      </c>
      <c r="O217" s="23" t="s">
        <v>695</v>
      </c>
      <c r="P217" s="16" t="s">
        <v>81</v>
      </c>
      <c r="Q217" s="16"/>
      <c r="R217" s="16"/>
      <c r="S217" s="83" t="s">
        <v>135</v>
      </c>
      <c r="T217" s="30" t="s">
        <v>196</v>
      </c>
      <c r="U217" s="35"/>
    </row>
    <row r="218" spans="1:21" ht="48">
      <c r="A218" s="23">
        <f t="shared" si="8"/>
        <v>200</v>
      </c>
      <c r="B218" s="23" t="s">
        <v>710</v>
      </c>
      <c r="C218" s="35" t="s">
        <v>711</v>
      </c>
      <c r="D218" s="16" t="s">
        <v>76</v>
      </c>
      <c r="E218" s="16">
        <v>0</v>
      </c>
      <c r="F218" s="21" t="s">
        <v>199</v>
      </c>
      <c r="G218" s="16" t="s">
        <v>195</v>
      </c>
      <c r="H218" s="23" t="s">
        <v>210</v>
      </c>
      <c r="I218" s="23">
        <v>2</v>
      </c>
      <c r="J218" s="23">
        <v>-40</v>
      </c>
      <c r="K218" s="23">
        <v>0.1</v>
      </c>
      <c r="L218" s="23">
        <v>-40</v>
      </c>
      <c r="M218" s="23">
        <v>200</v>
      </c>
      <c r="N218" s="23">
        <v>0</v>
      </c>
      <c r="O218" s="23" t="s">
        <v>695</v>
      </c>
      <c r="P218" s="23" t="s">
        <v>119</v>
      </c>
      <c r="Q218" s="16"/>
      <c r="R218" s="16"/>
      <c r="S218" s="83" t="s">
        <v>135</v>
      </c>
      <c r="T218" s="30" t="s">
        <v>252</v>
      </c>
      <c r="U218" s="35"/>
    </row>
    <row r="219" spans="1:21" ht="48">
      <c r="A219" s="23">
        <f t="shared" si="8"/>
        <v>201</v>
      </c>
      <c r="B219" s="23" t="s">
        <v>712</v>
      </c>
      <c r="C219" s="35" t="s">
        <v>713</v>
      </c>
      <c r="D219" s="16" t="s">
        <v>76</v>
      </c>
      <c r="E219" s="16">
        <v>0</v>
      </c>
      <c r="F219" s="21" t="s">
        <v>199</v>
      </c>
      <c r="G219" s="16" t="s">
        <v>195</v>
      </c>
      <c r="H219" s="23" t="s">
        <v>210</v>
      </c>
      <c r="I219" s="23">
        <v>2</v>
      </c>
      <c r="J219" s="23">
        <v>-40</v>
      </c>
      <c r="K219" s="23">
        <v>0.1</v>
      </c>
      <c r="L219" s="23">
        <v>-40</v>
      </c>
      <c r="M219" s="23">
        <v>200</v>
      </c>
      <c r="N219" s="23">
        <v>0</v>
      </c>
      <c r="O219" s="23" t="s">
        <v>695</v>
      </c>
      <c r="P219" s="23" t="s">
        <v>119</v>
      </c>
      <c r="Q219" s="23"/>
      <c r="R219" s="23"/>
      <c r="S219" s="83" t="s">
        <v>83</v>
      </c>
      <c r="T219" s="30" t="s">
        <v>84</v>
      </c>
      <c r="U219" s="35"/>
    </row>
    <row r="220" spans="1:21" ht="48">
      <c r="A220" s="23">
        <f t="shared" si="8"/>
        <v>202</v>
      </c>
      <c r="B220" s="23" t="s">
        <v>714</v>
      </c>
      <c r="C220" s="35" t="s">
        <v>715</v>
      </c>
      <c r="D220" s="16" t="s">
        <v>76</v>
      </c>
      <c r="E220" s="16">
        <v>0</v>
      </c>
      <c r="F220" s="21" t="s">
        <v>199</v>
      </c>
      <c r="G220" s="16" t="s">
        <v>195</v>
      </c>
      <c r="H220" s="16" t="s">
        <v>79</v>
      </c>
      <c r="I220" s="23">
        <v>1</v>
      </c>
      <c r="J220" s="23">
        <v>0</v>
      </c>
      <c r="K220" s="23">
        <v>1</v>
      </c>
      <c r="L220" s="23">
        <v>0</v>
      </c>
      <c r="M220" s="23">
        <v>100</v>
      </c>
      <c r="N220" s="23">
        <v>100</v>
      </c>
      <c r="O220" s="23" t="s">
        <v>316</v>
      </c>
      <c r="P220" s="23" t="s">
        <v>119</v>
      </c>
      <c r="Q220" s="23"/>
      <c r="R220" s="23"/>
      <c r="S220" s="83" t="s">
        <v>83</v>
      </c>
      <c r="T220" s="30" t="s">
        <v>84</v>
      </c>
      <c r="U220" s="35"/>
    </row>
    <row r="221" spans="1:21" s="72" customFormat="1" ht="48">
      <c r="A221" s="23">
        <f t="shared" si="8"/>
        <v>203</v>
      </c>
      <c r="B221" s="23" t="s">
        <v>716</v>
      </c>
      <c r="C221" s="35" t="s">
        <v>717</v>
      </c>
      <c r="D221" s="16" t="s">
        <v>76</v>
      </c>
      <c r="E221" s="16">
        <v>0</v>
      </c>
      <c r="F221" s="21" t="s">
        <v>199</v>
      </c>
      <c r="G221" s="16" t="s">
        <v>195</v>
      </c>
      <c r="H221" s="16" t="s">
        <v>79</v>
      </c>
      <c r="I221" s="23">
        <v>1</v>
      </c>
      <c r="J221" s="23">
        <v>0</v>
      </c>
      <c r="K221" s="23">
        <v>1</v>
      </c>
      <c r="L221" s="23">
        <v>0</v>
      </c>
      <c r="M221" s="23">
        <v>1</v>
      </c>
      <c r="N221" s="23">
        <v>1</v>
      </c>
      <c r="O221" s="23" t="s">
        <v>80</v>
      </c>
      <c r="P221" s="16" t="s">
        <v>81</v>
      </c>
      <c r="Q221" s="16"/>
      <c r="R221" s="16"/>
      <c r="S221" s="83" t="s">
        <v>135</v>
      </c>
      <c r="T221" s="30" t="s">
        <v>196</v>
      </c>
      <c r="U221" s="35"/>
    </row>
    <row r="222" spans="1:21" s="72" customFormat="1" ht="48">
      <c r="A222" s="23">
        <f t="shared" si="8"/>
        <v>204</v>
      </c>
      <c r="B222" s="23" t="s">
        <v>718</v>
      </c>
      <c r="C222" s="35" t="s">
        <v>719</v>
      </c>
      <c r="D222" s="16" t="s">
        <v>76</v>
      </c>
      <c r="E222" s="16">
        <v>0</v>
      </c>
      <c r="F222" s="21" t="s">
        <v>199</v>
      </c>
      <c r="G222" s="16" t="s">
        <v>195</v>
      </c>
      <c r="H222" s="16" t="s">
        <v>79</v>
      </c>
      <c r="I222" s="23">
        <v>1</v>
      </c>
      <c r="J222" s="23">
        <v>0</v>
      </c>
      <c r="K222" s="23">
        <v>1</v>
      </c>
      <c r="L222" s="23">
        <v>0</v>
      </c>
      <c r="M222" s="23">
        <v>100</v>
      </c>
      <c r="N222" s="23">
        <v>100</v>
      </c>
      <c r="O222" s="23" t="s">
        <v>316</v>
      </c>
      <c r="P222" s="23" t="s">
        <v>119</v>
      </c>
      <c r="Q222" s="23"/>
      <c r="R222" s="23"/>
      <c r="S222" s="83" t="s">
        <v>83</v>
      </c>
      <c r="T222" s="30" t="s">
        <v>84</v>
      </c>
      <c r="U222" s="35"/>
    </row>
    <row r="223" spans="1:21" s="72" customFormat="1" ht="48">
      <c r="A223" s="23">
        <f t="shared" si="8"/>
        <v>205</v>
      </c>
      <c r="B223" s="78" t="s">
        <v>720</v>
      </c>
      <c r="C223" s="63" t="s">
        <v>721</v>
      </c>
      <c r="D223" s="58" t="s">
        <v>76</v>
      </c>
      <c r="E223" s="58">
        <v>0</v>
      </c>
      <c r="F223" s="81" t="s">
        <v>199</v>
      </c>
      <c r="G223" s="58" t="s">
        <v>195</v>
      </c>
      <c r="H223" s="58" t="s">
        <v>79</v>
      </c>
      <c r="I223" s="78">
        <v>1</v>
      </c>
      <c r="J223" s="78">
        <v>0</v>
      </c>
      <c r="K223" s="78">
        <v>100</v>
      </c>
      <c r="L223" s="78">
        <v>0</v>
      </c>
      <c r="M223" s="78">
        <v>10000</v>
      </c>
      <c r="N223" s="78">
        <v>2000</v>
      </c>
      <c r="O223" s="78" t="s">
        <v>300</v>
      </c>
      <c r="P223" s="58" t="s">
        <v>81</v>
      </c>
      <c r="Q223" s="58"/>
      <c r="R223" s="58"/>
      <c r="S223" s="84" t="s">
        <v>135</v>
      </c>
      <c r="T223" s="85" t="s">
        <v>202</v>
      </c>
      <c r="U223" s="63" t="s">
        <v>722</v>
      </c>
    </row>
    <row r="224" spans="1:21" s="72" customFormat="1" ht="48">
      <c r="A224" s="23">
        <f t="shared" si="8"/>
        <v>206</v>
      </c>
      <c r="B224" s="78" t="s">
        <v>723</v>
      </c>
      <c r="C224" s="63" t="s">
        <v>724</v>
      </c>
      <c r="D224" s="58" t="s">
        <v>76</v>
      </c>
      <c r="E224" s="58">
        <v>0</v>
      </c>
      <c r="F224" s="81" t="s">
        <v>199</v>
      </c>
      <c r="G224" s="58" t="s">
        <v>195</v>
      </c>
      <c r="H224" s="58" t="s">
        <v>79</v>
      </c>
      <c r="I224" s="78">
        <v>1</v>
      </c>
      <c r="J224" s="78">
        <v>0</v>
      </c>
      <c r="K224" s="78">
        <v>100</v>
      </c>
      <c r="L224" s="78">
        <v>0</v>
      </c>
      <c r="M224" s="78">
        <v>10000</v>
      </c>
      <c r="N224" s="78">
        <v>100</v>
      </c>
      <c r="O224" s="78" t="s">
        <v>300</v>
      </c>
      <c r="P224" s="58" t="s">
        <v>81</v>
      </c>
      <c r="Q224" s="58"/>
      <c r="R224" s="58"/>
      <c r="S224" s="84" t="s">
        <v>135</v>
      </c>
      <c r="T224" s="85" t="s">
        <v>202</v>
      </c>
      <c r="U224" s="63" t="s">
        <v>725</v>
      </c>
    </row>
    <row r="225" spans="1:21" s="72" customFormat="1" ht="48">
      <c r="A225" s="23">
        <f t="shared" si="8"/>
        <v>207</v>
      </c>
      <c r="B225" s="23" t="s">
        <v>726</v>
      </c>
      <c r="C225" s="35" t="s">
        <v>727</v>
      </c>
      <c r="D225" s="16" t="s">
        <v>76</v>
      </c>
      <c r="E225" s="16">
        <v>0</v>
      </c>
      <c r="F225" s="21" t="s">
        <v>199</v>
      </c>
      <c r="G225" s="16" t="s">
        <v>195</v>
      </c>
      <c r="H225" s="16" t="s">
        <v>79</v>
      </c>
      <c r="I225" s="23">
        <v>1</v>
      </c>
      <c r="J225" s="23">
        <v>0</v>
      </c>
      <c r="K225" s="23">
        <v>1</v>
      </c>
      <c r="L225" s="23">
        <v>0</v>
      </c>
      <c r="M225" s="23">
        <v>100</v>
      </c>
      <c r="N225" s="23">
        <v>100</v>
      </c>
      <c r="O225" s="23" t="s">
        <v>316</v>
      </c>
      <c r="P225" s="23" t="s">
        <v>119</v>
      </c>
      <c r="Q225" s="23"/>
      <c r="R225" s="23"/>
      <c r="S225" s="83" t="s">
        <v>83</v>
      </c>
      <c r="T225" s="30" t="s">
        <v>84</v>
      </c>
      <c r="U225" s="35"/>
    </row>
    <row r="226" spans="1:21" s="72" customFormat="1" ht="48">
      <c r="A226" s="23">
        <f t="shared" si="8"/>
        <v>208</v>
      </c>
      <c r="B226" s="23" t="s">
        <v>728</v>
      </c>
      <c r="C226" s="35" t="s">
        <v>729</v>
      </c>
      <c r="D226" s="16" t="s">
        <v>76</v>
      </c>
      <c r="E226" s="16">
        <v>0</v>
      </c>
      <c r="F226" s="21" t="s">
        <v>199</v>
      </c>
      <c r="G226" s="16" t="s">
        <v>195</v>
      </c>
      <c r="H226" s="16" t="s">
        <v>79</v>
      </c>
      <c r="I226" s="23">
        <v>1</v>
      </c>
      <c r="J226" s="23">
        <v>0</v>
      </c>
      <c r="K226" s="23">
        <v>1</v>
      </c>
      <c r="L226" s="23">
        <v>0</v>
      </c>
      <c r="M226" s="23">
        <v>1</v>
      </c>
      <c r="N226" s="23">
        <v>1</v>
      </c>
      <c r="O226" s="23" t="s">
        <v>80</v>
      </c>
      <c r="P226" s="16" t="s">
        <v>81</v>
      </c>
      <c r="Q226" s="16"/>
      <c r="R226" s="16"/>
      <c r="S226" s="83" t="s">
        <v>135</v>
      </c>
      <c r="T226" s="30" t="s">
        <v>196</v>
      </c>
      <c r="U226" s="35"/>
    </row>
    <row r="227" spans="1:21" s="72" customFormat="1" ht="48">
      <c r="A227" s="23">
        <f t="shared" si="8"/>
        <v>209</v>
      </c>
      <c r="B227" s="23" t="s">
        <v>730</v>
      </c>
      <c r="C227" s="35" t="s">
        <v>731</v>
      </c>
      <c r="D227" s="16" t="s">
        <v>76</v>
      </c>
      <c r="E227" s="16">
        <v>0</v>
      </c>
      <c r="F227" s="21" t="s">
        <v>199</v>
      </c>
      <c r="G227" s="16" t="s">
        <v>195</v>
      </c>
      <c r="H227" s="16" t="s">
        <v>79</v>
      </c>
      <c r="I227" s="23">
        <v>1</v>
      </c>
      <c r="J227" s="23">
        <v>0</v>
      </c>
      <c r="K227" s="23">
        <v>1</v>
      </c>
      <c r="L227" s="23">
        <v>0</v>
      </c>
      <c r="M227" s="23">
        <v>1</v>
      </c>
      <c r="N227" s="23">
        <v>1</v>
      </c>
      <c r="O227" s="23" t="s">
        <v>80</v>
      </c>
      <c r="P227" s="16" t="s">
        <v>81</v>
      </c>
      <c r="Q227" s="16"/>
      <c r="R227" s="16"/>
      <c r="S227" s="83" t="s">
        <v>135</v>
      </c>
      <c r="T227" s="30" t="s">
        <v>196</v>
      </c>
      <c r="U227" s="35"/>
    </row>
    <row r="228" spans="1:21" s="72" customFormat="1" ht="48">
      <c r="A228" s="23">
        <f t="shared" si="8"/>
        <v>210</v>
      </c>
      <c r="B228" s="23" t="s">
        <v>732</v>
      </c>
      <c r="C228" s="35" t="s">
        <v>733</v>
      </c>
      <c r="D228" s="16" t="s">
        <v>76</v>
      </c>
      <c r="E228" s="16">
        <v>0</v>
      </c>
      <c r="F228" s="21" t="s">
        <v>199</v>
      </c>
      <c r="G228" s="16" t="s">
        <v>195</v>
      </c>
      <c r="H228" s="16" t="s">
        <v>79</v>
      </c>
      <c r="I228" s="23">
        <v>1</v>
      </c>
      <c r="J228" s="23">
        <v>0</v>
      </c>
      <c r="K228" s="23">
        <v>1</v>
      </c>
      <c r="L228" s="23">
        <v>0</v>
      </c>
      <c r="M228" s="23">
        <v>100</v>
      </c>
      <c r="N228" s="23">
        <v>100</v>
      </c>
      <c r="O228" s="23" t="s">
        <v>316</v>
      </c>
      <c r="P228" s="23" t="s">
        <v>119</v>
      </c>
      <c r="Q228" s="23"/>
      <c r="R228" s="23"/>
      <c r="S228" s="83" t="s">
        <v>83</v>
      </c>
      <c r="T228" s="30" t="s">
        <v>84</v>
      </c>
      <c r="U228" s="35"/>
    </row>
    <row r="230" spans="1:21">
      <c r="B230" s="101"/>
    </row>
  </sheetData>
  <sheetProtection formatCells="0" insertHyperlinks="0" autoFilter="0"/>
  <autoFilter ref="A2:U228" xr:uid="{00000000-0009-0000-0000-000003000000}"/>
  <conditionalFormatting sqref="B1:B1048576">
    <cfRule type="expression" dxfId="0" priority="1">
      <formula>AND(SUMPRODUCT(IFERROR(1*(($B:$B&amp;"x")=(B1&amp;"x")),0))&gt;1,NOT(ISBLANK(B1)))</formula>
    </cfRule>
  </conditionalFormatting>
  <dataValidations count="2">
    <dataValidation type="list" errorStyle="information" allowBlank="1" showErrorMessage="1" errorTitle="错误提示" error="请输入下拉列表中的一个值" sqref="S4:S33 S35:S38 S40:S50 S52:S63 S68:S98 S100:S111 S113:S139 S141:S146 S148:S174 S176:S198 S200:S202 S204:S207 S209:S228" xr:uid="{00000000-0002-0000-0300-000000000000}">
      <formula1>"RAM, ROM, FLASH, EEPROM"</formula1>
    </dataValidation>
    <dataValidation type="list" errorStyle="information" allowBlank="1" showErrorMessage="1" errorTitle="错误提示" error="请输入下拉列表中的一个值" sqref="T4:T63 T67:T139 T141:T146 T148:T228" xr:uid="{00000000-0002-0000-0300-000001000000}">
      <formula1>"FixedInfo, ProductCfg, CustomerCfg, OperateData, RideData, 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U19"/>
  <sheetViews>
    <sheetView showGridLines="0" zoomScaleNormal="100" workbookViewId="0">
      <pane ySplit="2" topLeftCell="A3" activePane="bottomLeft" state="frozen"/>
      <selection pane="bottomLeft" activeCell="U16" sqref="A16:XFD19"/>
    </sheetView>
  </sheetViews>
  <sheetFormatPr baseColWidth="10" defaultColWidth="14" defaultRowHeight="16"/>
  <cols>
    <col min="1" max="1" width="8" style="1" customWidth="1"/>
    <col min="2" max="2" width="15" style="1" customWidth="1"/>
    <col min="3" max="3" width="33" style="1" customWidth="1"/>
    <col min="4" max="4" width="18.19921875" style="1" customWidth="1"/>
    <col min="5" max="17" width="15.59765625" style="1" customWidth="1"/>
    <col min="18" max="18" width="15.59765625" style="11" customWidth="1"/>
    <col min="19" max="19" width="20.19921875" style="1" customWidth="1"/>
    <col min="20" max="20" width="20.19921875" style="11" customWidth="1"/>
    <col min="21" max="21" width="33" style="1" customWidth="1"/>
    <col min="22" max="16384" width="14" style="1"/>
  </cols>
  <sheetData>
    <row r="1" spans="1:21" ht="36" customHeight="1">
      <c r="A1" s="12"/>
      <c r="B1" s="12"/>
      <c r="C1" s="12"/>
      <c r="D1" s="12"/>
      <c r="E1" s="12"/>
      <c r="F1" s="12"/>
      <c r="G1" s="12"/>
      <c r="H1" s="12"/>
      <c r="I1" s="12"/>
      <c r="J1" s="12"/>
      <c r="K1" s="24" t="s">
        <v>734</v>
      </c>
      <c r="L1" s="12"/>
      <c r="M1" s="12"/>
      <c r="N1" s="12"/>
      <c r="O1" s="12"/>
      <c r="P1" s="12"/>
      <c r="Q1" s="12"/>
      <c r="R1" s="12"/>
      <c r="S1" s="12"/>
      <c r="T1" s="12"/>
      <c r="U1" s="12"/>
    </row>
    <row r="2" spans="1:21" ht="36" customHeight="1">
      <c r="A2" s="50" t="s">
        <v>52</v>
      </c>
      <c r="B2" s="50" t="s">
        <v>53</v>
      </c>
      <c r="C2" s="50" t="s">
        <v>54</v>
      </c>
      <c r="D2" s="20" t="s">
        <v>55</v>
      </c>
      <c r="E2" s="20" t="s">
        <v>56</v>
      </c>
      <c r="F2" s="20" t="s">
        <v>57</v>
      </c>
      <c r="G2" s="20" t="s">
        <v>58</v>
      </c>
      <c r="H2" s="50" t="s">
        <v>59</v>
      </c>
      <c r="I2" s="50" t="s">
        <v>60</v>
      </c>
      <c r="J2" s="50" t="s">
        <v>61</v>
      </c>
      <c r="K2" s="50" t="s">
        <v>62</v>
      </c>
      <c r="L2" s="50" t="s">
        <v>63</v>
      </c>
      <c r="M2" s="50" t="s">
        <v>64</v>
      </c>
      <c r="N2" s="13" t="s">
        <v>65</v>
      </c>
      <c r="O2" s="50" t="s">
        <v>66</v>
      </c>
      <c r="P2" s="50" t="s">
        <v>67</v>
      </c>
      <c r="Q2" s="13" t="s">
        <v>68</v>
      </c>
      <c r="R2" s="68" t="s">
        <v>69</v>
      </c>
      <c r="S2" s="20" t="s">
        <v>70</v>
      </c>
      <c r="T2" s="28" t="s">
        <v>71</v>
      </c>
      <c r="U2" s="20" t="s">
        <v>72</v>
      </c>
    </row>
    <row r="3" spans="1:21" ht="187">
      <c r="A3" s="29">
        <f t="shared" ref="A3:A19" si="0">ROW()-2</f>
        <v>1</v>
      </c>
      <c r="B3" s="29" t="s">
        <v>735</v>
      </c>
      <c r="C3" s="47" t="s">
        <v>736</v>
      </c>
      <c r="D3" s="16" t="s">
        <v>76</v>
      </c>
      <c r="E3" s="16" t="s">
        <v>76</v>
      </c>
      <c r="F3" s="21" t="s">
        <v>77</v>
      </c>
      <c r="G3" s="16" t="s">
        <v>737</v>
      </c>
      <c r="H3" s="29" t="s">
        <v>99</v>
      </c>
      <c r="I3" s="29">
        <v>8</v>
      </c>
      <c r="J3" s="29">
        <v>0</v>
      </c>
      <c r="K3" s="29">
        <v>1</v>
      </c>
      <c r="L3" s="29">
        <v>0</v>
      </c>
      <c r="M3" s="29">
        <v>2</v>
      </c>
      <c r="N3" s="29">
        <v>0</v>
      </c>
      <c r="O3" s="29" t="s">
        <v>80</v>
      </c>
      <c r="P3" s="29" t="s">
        <v>119</v>
      </c>
      <c r="Q3" s="29" t="s">
        <v>82</v>
      </c>
      <c r="R3" s="29" t="s">
        <v>80</v>
      </c>
      <c r="S3" s="29" t="s">
        <v>83</v>
      </c>
      <c r="T3" s="30" t="s">
        <v>84</v>
      </c>
      <c r="U3" s="47" t="s">
        <v>738</v>
      </c>
    </row>
    <row r="4" spans="1:21" ht="36" customHeight="1">
      <c r="A4" s="29">
        <f t="shared" si="0"/>
        <v>2</v>
      </c>
      <c r="B4" s="29" t="s">
        <v>739</v>
      </c>
      <c r="C4" s="47" t="s">
        <v>740</v>
      </c>
      <c r="D4" s="16" t="s">
        <v>76</v>
      </c>
      <c r="E4" s="16" t="s">
        <v>76</v>
      </c>
      <c r="F4" s="21" t="s">
        <v>77</v>
      </c>
      <c r="G4" s="16" t="s">
        <v>737</v>
      </c>
      <c r="H4" s="29" t="s">
        <v>79</v>
      </c>
      <c r="I4" s="29">
        <v>1</v>
      </c>
      <c r="J4" s="29">
        <v>0</v>
      </c>
      <c r="K4" s="29">
        <v>1</v>
      </c>
      <c r="L4" s="29">
        <v>0</v>
      </c>
      <c r="M4" s="29">
        <v>5</v>
      </c>
      <c r="N4" s="29">
        <v>3</v>
      </c>
      <c r="O4" s="29" t="s">
        <v>80</v>
      </c>
      <c r="P4" s="29" t="s">
        <v>81</v>
      </c>
      <c r="Q4" s="29" t="s">
        <v>82</v>
      </c>
      <c r="R4" s="29" t="s">
        <v>82</v>
      </c>
      <c r="S4" s="29" t="s">
        <v>135</v>
      </c>
      <c r="T4" s="30" t="s">
        <v>252</v>
      </c>
      <c r="U4" s="47" t="s">
        <v>741</v>
      </c>
    </row>
    <row r="5" spans="1:21" ht="51">
      <c r="A5" s="29">
        <f t="shared" si="0"/>
        <v>3</v>
      </c>
      <c r="B5" s="29" t="s">
        <v>742</v>
      </c>
      <c r="C5" s="47" t="s">
        <v>743</v>
      </c>
      <c r="D5" s="16" t="s">
        <v>76</v>
      </c>
      <c r="E5" s="16" t="s">
        <v>76</v>
      </c>
      <c r="F5" s="21" t="s">
        <v>77</v>
      </c>
      <c r="G5" s="16" t="s">
        <v>737</v>
      </c>
      <c r="H5" s="29" t="s">
        <v>79</v>
      </c>
      <c r="I5" s="29">
        <v>1</v>
      </c>
      <c r="J5" s="29">
        <v>0</v>
      </c>
      <c r="K5" s="29">
        <v>1</v>
      </c>
      <c r="L5" s="29">
        <v>0</v>
      </c>
      <c r="M5" s="29">
        <v>100</v>
      </c>
      <c r="N5" s="29">
        <v>100</v>
      </c>
      <c r="O5" s="29" t="s">
        <v>316</v>
      </c>
      <c r="P5" s="29" t="s">
        <v>81</v>
      </c>
      <c r="Q5" s="29" t="s">
        <v>82</v>
      </c>
      <c r="R5" s="29" t="s">
        <v>82</v>
      </c>
      <c r="S5" s="29" t="s">
        <v>83</v>
      </c>
      <c r="T5" s="30" t="s">
        <v>84</v>
      </c>
      <c r="U5" s="47" t="s">
        <v>744</v>
      </c>
    </row>
    <row r="6" spans="1:21" ht="51">
      <c r="A6" s="29">
        <f t="shared" si="0"/>
        <v>4</v>
      </c>
      <c r="B6" s="29" t="s">
        <v>745</v>
      </c>
      <c r="C6" s="47" t="s">
        <v>746</v>
      </c>
      <c r="D6" s="16" t="s">
        <v>76</v>
      </c>
      <c r="E6" s="16" t="s">
        <v>76</v>
      </c>
      <c r="F6" s="21" t="s">
        <v>77</v>
      </c>
      <c r="G6" s="16" t="s">
        <v>737</v>
      </c>
      <c r="H6" s="29" t="s">
        <v>79</v>
      </c>
      <c r="I6" s="29">
        <v>1</v>
      </c>
      <c r="J6" s="29">
        <v>0</v>
      </c>
      <c r="K6" s="29">
        <v>1</v>
      </c>
      <c r="L6" s="29">
        <v>0</v>
      </c>
      <c r="M6" s="29">
        <v>1</v>
      </c>
      <c r="N6" s="29">
        <v>0</v>
      </c>
      <c r="O6" s="29" t="s">
        <v>80</v>
      </c>
      <c r="P6" s="29" t="s">
        <v>81</v>
      </c>
      <c r="Q6" s="29" t="s">
        <v>82</v>
      </c>
      <c r="R6" s="29" t="s">
        <v>82</v>
      </c>
      <c r="S6" s="29" t="s">
        <v>83</v>
      </c>
      <c r="T6" s="30" t="s">
        <v>84</v>
      </c>
      <c r="U6" s="47" t="s">
        <v>747</v>
      </c>
    </row>
    <row r="7" spans="1:21" ht="136">
      <c r="A7" s="29">
        <f t="shared" si="0"/>
        <v>5</v>
      </c>
      <c r="B7" s="29" t="s">
        <v>748</v>
      </c>
      <c r="C7" s="47" t="s">
        <v>749</v>
      </c>
      <c r="D7" s="16" t="s">
        <v>76</v>
      </c>
      <c r="E7" s="16" t="s">
        <v>76</v>
      </c>
      <c r="F7" s="21" t="s">
        <v>77</v>
      </c>
      <c r="G7" s="16" t="s">
        <v>737</v>
      </c>
      <c r="H7" s="29" t="s">
        <v>79</v>
      </c>
      <c r="I7" s="29">
        <v>1</v>
      </c>
      <c r="J7" s="29">
        <v>0</v>
      </c>
      <c r="K7" s="29">
        <v>1</v>
      </c>
      <c r="L7" s="29">
        <v>0</v>
      </c>
      <c r="M7" s="29">
        <v>255</v>
      </c>
      <c r="N7" s="29">
        <v>1</v>
      </c>
      <c r="O7" s="29" t="s">
        <v>80</v>
      </c>
      <c r="P7" s="29" t="s">
        <v>81</v>
      </c>
      <c r="Q7" s="29" t="s">
        <v>82</v>
      </c>
      <c r="R7" s="29" t="s">
        <v>82</v>
      </c>
      <c r="S7" s="29" t="s">
        <v>135</v>
      </c>
      <c r="T7" s="30" t="s">
        <v>136</v>
      </c>
      <c r="U7" s="69" t="s">
        <v>750</v>
      </c>
    </row>
    <row r="8" spans="1:21" ht="102">
      <c r="A8" s="29">
        <f t="shared" si="0"/>
        <v>6</v>
      </c>
      <c r="B8" s="29" t="s">
        <v>751</v>
      </c>
      <c r="C8" s="47" t="s">
        <v>752</v>
      </c>
      <c r="D8" s="16" t="s">
        <v>76</v>
      </c>
      <c r="E8" s="16" t="s">
        <v>76</v>
      </c>
      <c r="F8" s="21" t="s">
        <v>77</v>
      </c>
      <c r="G8" s="16" t="s">
        <v>737</v>
      </c>
      <c r="H8" s="29" t="s">
        <v>79</v>
      </c>
      <c r="I8" s="29">
        <v>1</v>
      </c>
      <c r="J8" s="29">
        <v>0</v>
      </c>
      <c r="K8" s="29">
        <v>1</v>
      </c>
      <c r="L8" s="29">
        <v>0</v>
      </c>
      <c r="M8" s="29">
        <v>255</v>
      </c>
      <c r="N8" s="29">
        <v>0</v>
      </c>
      <c r="O8" s="29" t="s">
        <v>80</v>
      </c>
      <c r="P8" s="29" t="s">
        <v>81</v>
      </c>
      <c r="Q8" s="29" t="s">
        <v>82</v>
      </c>
      <c r="R8" s="29" t="s">
        <v>82</v>
      </c>
      <c r="S8" s="29" t="s">
        <v>135</v>
      </c>
      <c r="T8" s="30" t="s">
        <v>136</v>
      </c>
      <c r="U8" s="47" t="s">
        <v>753</v>
      </c>
    </row>
    <row r="9" spans="1:21" ht="153">
      <c r="A9" s="29">
        <f t="shared" si="0"/>
        <v>7</v>
      </c>
      <c r="B9" s="29" t="s">
        <v>754</v>
      </c>
      <c r="C9" s="51" t="s">
        <v>755</v>
      </c>
      <c r="D9" s="16" t="s">
        <v>76</v>
      </c>
      <c r="E9" s="16" t="s">
        <v>76</v>
      </c>
      <c r="F9" s="21" t="s">
        <v>77</v>
      </c>
      <c r="G9" s="16" t="s">
        <v>737</v>
      </c>
      <c r="H9" s="29" t="s">
        <v>99</v>
      </c>
      <c r="I9" s="29">
        <v>8</v>
      </c>
      <c r="J9" s="29">
        <v>0</v>
      </c>
      <c r="K9" s="29">
        <v>1</v>
      </c>
      <c r="L9" s="29">
        <v>0</v>
      </c>
      <c r="M9" s="29" t="s">
        <v>80</v>
      </c>
      <c r="N9" s="29">
        <v>0</v>
      </c>
      <c r="O9" s="29" t="s">
        <v>80</v>
      </c>
      <c r="P9" s="29" t="s">
        <v>81</v>
      </c>
      <c r="Q9" s="29" t="s">
        <v>82</v>
      </c>
      <c r="R9" s="29" t="s">
        <v>82</v>
      </c>
      <c r="S9" s="29" t="s">
        <v>83</v>
      </c>
      <c r="T9" s="30" t="s">
        <v>84</v>
      </c>
      <c r="U9" s="47" t="s">
        <v>756</v>
      </c>
    </row>
    <row r="10" spans="1:21" ht="153">
      <c r="A10" s="29">
        <f t="shared" si="0"/>
        <v>8</v>
      </c>
      <c r="B10" s="29" t="s">
        <v>757</v>
      </c>
      <c r="C10" s="51" t="s">
        <v>758</v>
      </c>
      <c r="D10" s="16" t="s">
        <v>76</v>
      </c>
      <c r="E10" s="16" t="s">
        <v>76</v>
      </c>
      <c r="F10" s="21" t="s">
        <v>77</v>
      </c>
      <c r="G10" s="16" t="s">
        <v>737</v>
      </c>
      <c r="H10" s="29" t="s">
        <v>99</v>
      </c>
      <c r="I10" s="29">
        <v>8</v>
      </c>
      <c r="J10" s="29">
        <v>0</v>
      </c>
      <c r="K10" s="29">
        <v>1</v>
      </c>
      <c r="L10" s="29">
        <v>0</v>
      </c>
      <c r="M10" s="29" t="s">
        <v>80</v>
      </c>
      <c r="N10" s="29">
        <v>0</v>
      </c>
      <c r="O10" s="29" t="s">
        <v>80</v>
      </c>
      <c r="P10" s="29" t="s">
        <v>119</v>
      </c>
      <c r="Q10" s="29" t="s">
        <v>82</v>
      </c>
      <c r="R10" s="29" t="s">
        <v>80</v>
      </c>
      <c r="S10" s="29" t="s">
        <v>83</v>
      </c>
      <c r="T10" s="30" t="s">
        <v>84</v>
      </c>
      <c r="U10" s="47" t="s">
        <v>249</v>
      </c>
    </row>
    <row r="11" spans="1:21" ht="102">
      <c r="A11" s="29">
        <f t="shared" si="0"/>
        <v>9</v>
      </c>
      <c r="B11" s="29" t="s">
        <v>759</v>
      </c>
      <c r="C11" s="51" t="s">
        <v>760</v>
      </c>
      <c r="D11" s="16" t="s">
        <v>76</v>
      </c>
      <c r="E11" s="16" t="s">
        <v>76</v>
      </c>
      <c r="F11" s="21" t="s">
        <v>77</v>
      </c>
      <c r="G11" s="16" t="s">
        <v>737</v>
      </c>
      <c r="H11" s="29" t="s">
        <v>99</v>
      </c>
      <c r="I11" s="29">
        <v>1</v>
      </c>
      <c r="J11" s="29">
        <v>0</v>
      </c>
      <c r="K11" s="29">
        <v>1</v>
      </c>
      <c r="L11" s="29">
        <v>0</v>
      </c>
      <c r="M11" s="29" t="s">
        <v>80</v>
      </c>
      <c r="N11" s="29">
        <v>0</v>
      </c>
      <c r="O11" s="29" t="s">
        <v>80</v>
      </c>
      <c r="P11" s="29" t="s">
        <v>119</v>
      </c>
      <c r="Q11" s="29" t="s">
        <v>82</v>
      </c>
      <c r="R11" s="29" t="s">
        <v>80</v>
      </c>
      <c r="S11" s="29" t="s">
        <v>83</v>
      </c>
      <c r="T11" s="30" t="s">
        <v>84</v>
      </c>
      <c r="U11" s="47" t="s">
        <v>761</v>
      </c>
    </row>
    <row r="12" spans="1:21" ht="48">
      <c r="A12" s="29">
        <f t="shared" si="0"/>
        <v>10</v>
      </c>
      <c r="B12" s="29" t="s">
        <v>762</v>
      </c>
      <c r="C12" s="51" t="s">
        <v>763</v>
      </c>
      <c r="D12" s="16" t="s">
        <v>76</v>
      </c>
      <c r="E12" s="16" t="s">
        <v>76</v>
      </c>
      <c r="F12" s="21" t="s">
        <v>77</v>
      </c>
      <c r="G12" s="16" t="s">
        <v>737</v>
      </c>
      <c r="H12" s="29" t="s">
        <v>99</v>
      </c>
      <c r="I12" s="29">
        <v>4</v>
      </c>
      <c r="J12" s="29">
        <v>0</v>
      </c>
      <c r="K12" s="29">
        <v>1</v>
      </c>
      <c r="L12" s="29">
        <v>0</v>
      </c>
      <c r="M12" s="29" t="s">
        <v>80</v>
      </c>
      <c r="N12" s="29">
        <v>0</v>
      </c>
      <c r="O12" s="29" t="s">
        <v>80</v>
      </c>
      <c r="P12" s="29" t="s">
        <v>119</v>
      </c>
      <c r="Q12" s="29" t="s">
        <v>82</v>
      </c>
      <c r="R12" s="29" t="s">
        <v>80</v>
      </c>
      <c r="S12" s="29" t="s">
        <v>83</v>
      </c>
      <c r="T12" s="30" t="s">
        <v>84</v>
      </c>
      <c r="U12" s="47"/>
    </row>
    <row r="13" spans="1:21" ht="153">
      <c r="A13" s="29">
        <f t="shared" si="0"/>
        <v>11</v>
      </c>
      <c r="B13" s="29" t="s">
        <v>764</v>
      </c>
      <c r="C13" s="51" t="s">
        <v>765</v>
      </c>
      <c r="D13" s="16" t="s">
        <v>76</v>
      </c>
      <c r="E13" s="16" t="s">
        <v>76</v>
      </c>
      <c r="F13" s="21" t="s">
        <v>77</v>
      </c>
      <c r="G13" s="16" t="s">
        <v>737</v>
      </c>
      <c r="H13" s="29" t="s">
        <v>79</v>
      </c>
      <c r="I13" s="29">
        <v>1</v>
      </c>
      <c r="J13" s="29">
        <v>0</v>
      </c>
      <c r="K13" s="29">
        <v>1</v>
      </c>
      <c r="L13" s="29">
        <v>0</v>
      </c>
      <c r="M13" s="29">
        <v>255</v>
      </c>
      <c r="N13" s="29">
        <v>0</v>
      </c>
      <c r="O13" s="29" t="s">
        <v>80</v>
      </c>
      <c r="P13" s="29" t="s">
        <v>119</v>
      </c>
      <c r="Q13" s="29" t="s">
        <v>82</v>
      </c>
      <c r="R13" s="29" t="s">
        <v>80</v>
      </c>
      <c r="S13" s="29" t="s">
        <v>135</v>
      </c>
      <c r="T13" s="30" t="s">
        <v>136</v>
      </c>
      <c r="U13" s="47" t="s">
        <v>766</v>
      </c>
    </row>
    <row r="14" spans="1:21" ht="32">
      <c r="A14" s="29">
        <f t="shared" si="0"/>
        <v>12</v>
      </c>
      <c r="B14" s="29" t="s">
        <v>767</v>
      </c>
      <c r="C14" s="51" t="s">
        <v>768</v>
      </c>
      <c r="D14" s="16" t="s">
        <v>76</v>
      </c>
      <c r="E14" s="16" t="s">
        <v>76</v>
      </c>
      <c r="F14" s="21" t="s">
        <v>194</v>
      </c>
      <c r="G14" s="16" t="s">
        <v>737</v>
      </c>
      <c r="H14" s="29" t="s">
        <v>99</v>
      </c>
      <c r="I14" s="29" t="s">
        <v>769</v>
      </c>
      <c r="J14" s="29">
        <v>0</v>
      </c>
      <c r="K14" s="29">
        <v>1</v>
      </c>
      <c r="L14" s="29">
        <v>0</v>
      </c>
      <c r="M14" s="29" t="s">
        <v>80</v>
      </c>
      <c r="N14" s="29">
        <v>0</v>
      </c>
      <c r="O14" s="29" t="s">
        <v>80</v>
      </c>
      <c r="P14" s="29" t="s">
        <v>81</v>
      </c>
      <c r="Q14" s="29" t="s">
        <v>95</v>
      </c>
      <c r="R14" s="29" t="s">
        <v>80</v>
      </c>
      <c r="S14" s="29" t="s">
        <v>135</v>
      </c>
      <c r="T14" s="30" t="s">
        <v>136</v>
      </c>
      <c r="U14" s="47" t="s">
        <v>770</v>
      </c>
    </row>
    <row r="15" spans="1:21" ht="68">
      <c r="A15" s="29">
        <f t="shared" si="0"/>
        <v>13</v>
      </c>
      <c r="B15" s="29" t="s">
        <v>771</v>
      </c>
      <c r="C15" s="51" t="s">
        <v>772</v>
      </c>
      <c r="D15" s="16" t="s">
        <v>76</v>
      </c>
      <c r="E15" s="16" t="s">
        <v>76</v>
      </c>
      <c r="F15" s="21" t="s">
        <v>194</v>
      </c>
      <c r="G15" s="16" t="s">
        <v>737</v>
      </c>
      <c r="H15" s="29" t="s">
        <v>79</v>
      </c>
      <c r="I15" s="29">
        <v>1</v>
      </c>
      <c r="J15" s="29">
        <v>0</v>
      </c>
      <c r="K15" s="29">
        <v>1</v>
      </c>
      <c r="L15" s="29">
        <v>0</v>
      </c>
      <c r="M15" s="29">
        <v>255</v>
      </c>
      <c r="N15" s="29">
        <v>0</v>
      </c>
      <c r="O15" s="29" t="s">
        <v>80</v>
      </c>
      <c r="P15" s="29" t="s">
        <v>81</v>
      </c>
      <c r="Q15" s="29" t="s">
        <v>95</v>
      </c>
      <c r="R15" s="29" t="s">
        <v>80</v>
      </c>
      <c r="S15" s="29" t="s">
        <v>135</v>
      </c>
      <c r="T15" s="30" t="s">
        <v>136</v>
      </c>
      <c r="U15" s="69" t="s">
        <v>773</v>
      </c>
    </row>
    <row r="16" spans="1:21" ht="32">
      <c r="A16" s="29">
        <f t="shared" si="0"/>
        <v>14</v>
      </c>
      <c r="B16" s="29" t="s">
        <v>774</v>
      </c>
      <c r="C16" s="51" t="s">
        <v>775</v>
      </c>
      <c r="D16" s="16" t="s">
        <v>76</v>
      </c>
      <c r="E16" s="16" t="s">
        <v>76</v>
      </c>
      <c r="F16" s="21" t="s">
        <v>194</v>
      </c>
      <c r="G16" s="16" t="s">
        <v>737</v>
      </c>
      <c r="H16" s="29" t="s">
        <v>79</v>
      </c>
      <c r="I16" s="29">
        <v>1</v>
      </c>
      <c r="J16" s="29">
        <v>0</v>
      </c>
      <c r="K16" s="29">
        <v>1</v>
      </c>
      <c r="L16" s="29">
        <v>0</v>
      </c>
      <c r="M16" s="29">
        <v>1</v>
      </c>
      <c r="N16" s="29">
        <v>0</v>
      </c>
      <c r="O16" s="29" t="s">
        <v>80</v>
      </c>
      <c r="P16" s="29" t="s">
        <v>81</v>
      </c>
      <c r="Q16" s="29" t="s">
        <v>82</v>
      </c>
      <c r="R16" s="29" t="s">
        <v>80</v>
      </c>
      <c r="S16" s="29" t="s">
        <v>135</v>
      </c>
      <c r="T16" s="30" t="s">
        <v>252</v>
      </c>
      <c r="U16" s="70"/>
    </row>
    <row r="17" spans="1:21" ht="32">
      <c r="A17" s="29">
        <f t="shared" si="0"/>
        <v>15</v>
      </c>
      <c r="B17" s="29" t="s">
        <v>776</v>
      </c>
      <c r="C17" s="51" t="s">
        <v>777</v>
      </c>
      <c r="D17" s="16" t="s">
        <v>76</v>
      </c>
      <c r="E17" s="16" t="s">
        <v>76</v>
      </c>
      <c r="F17" s="21" t="s">
        <v>194</v>
      </c>
      <c r="G17" s="16" t="s">
        <v>737</v>
      </c>
      <c r="H17" s="29" t="s">
        <v>79</v>
      </c>
      <c r="I17" s="29">
        <v>1</v>
      </c>
      <c r="J17" s="29">
        <v>0</v>
      </c>
      <c r="K17" s="29">
        <v>1</v>
      </c>
      <c r="L17" s="29">
        <v>3</v>
      </c>
      <c r="M17" s="29">
        <v>4</v>
      </c>
      <c r="N17" s="29">
        <v>3</v>
      </c>
      <c r="O17" s="29" t="s">
        <v>80</v>
      </c>
      <c r="P17" s="29" t="s">
        <v>81</v>
      </c>
      <c r="Q17" s="29" t="s">
        <v>82</v>
      </c>
      <c r="R17" s="29" t="s">
        <v>80</v>
      </c>
      <c r="S17" s="29" t="s">
        <v>135</v>
      </c>
      <c r="T17" s="30" t="s">
        <v>252</v>
      </c>
      <c r="U17" s="70"/>
    </row>
    <row r="18" spans="1:21" ht="32">
      <c r="A18" s="29">
        <f t="shared" si="0"/>
        <v>16</v>
      </c>
      <c r="B18" s="29" t="s">
        <v>778</v>
      </c>
      <c r="C18" s="51" t="s">
        <v>779</v>
      </c>
      <c r="D18" s="16" t="s">
        <v>76</v>
      </c>
      <c r="E18" s="16" t="s">
        <v>76</v>
      </c>
      <c r="F18" s="21" t="s">
        <v>194</v>
      </c>
      <c r="G18" s="16" t="s">
        <v>737</v>
      </c>
      <c r="H18" s="29" t="s">
        <v>79</v>
      </c>
      <c r="I18" s="29">
        <v>1</v>
      </c>
      <c r="J18" s="29">
        <v>0</v>
      </c>
      <c r="K18" s="29">
        <v>1</v>
      </c>
      <c r="L18" s="29">
        <v>1</v>
      </c>
      <c r="M18" s="29">
        <v>9</v>
      </c>
      <c r="N18" s="29">
        <v>4</v>
      </c>
      <c r="O18" s="29" t="s">
        <v>80</v>
      </c>
      <c r="P18" s="29" t="s">
        <v>81</v>
      </c>
      <c r="Q18" s="29" t="s">
        <v>82</v>
      </c>
      <c r="R18" s="29" t="s">
        <v>80</v>
      </c>
      <c r="S18" s="29" t="s">
        <v>135</v>
      </c>
      <c r="T18" s="30" t="s">
        <v>252</v>
      </c>
      <c r="U18" s="70"/>
    </row>
    <row r="19" spans="1:21" ht="32">
      <c r="A19" s="29">
        <f t="shared" si="0"/>
        <v>17</v>
      </c>
      <c r="B19" s="29" t="s">
        <v>780</v>
      </c>
      <c r="C19" s="51" t="s">
        <v>781</v>
      </c>
      <c r="D19" s="16" t="s">
        <v>76</v>
      </c>
      <c r="E19" s="16" t="s">
        <v>76</v>
      </c>
      <c r="F19" s="21" t="s">
        <v>194</v>
      </c>
      <c r="G19" s="16" t="s">
        <v>737</v>
      </c>
      <c r="H19" s="29" t="s">
        <v>79</v>
      </c>
      <c r="I19" s="29">
        <v>1</v>
      </c>
      <c r="J19" s="29">
        <v>0</v>
      </c>
      <c r="K19" s="29">
        <v>1</v>
      </c>
      <c r="L19" s="29">
        <v>30</v>
      </c>
      <c r="M19" s="29">
        <v>120</v>
      </c>
      <c r="N19" s="29">
        <v>60</v>
      </c>
      <c r="O19" s="29" t="s">
        <v>80</v>
      </c>
      <c r="P19" s="29" t="s">
        <v>81</v>
      </c>
      <c r="Q19" s="29" t="s">
        <v>82</v>
      </c>
      <c r="R19" s="29" t="s">
        <v>80</v>
      </c>
      <c r="S19" s="29" t="s">
        <v>135</v>
      </c>
      <c r="T19" s="30" t="s">
        <v>252</v>
      </c>
      <c r="U19" s="70"/>
    </row>
  </sheetData>
  <sheetProtection formatCells="0" insertHyperlinks="0" autoFilter="0"/>
  <autoFilter ref="A2:U19" xr:uid="{00000000-0009-0000-0000-000004000000}"/>
  <dataValidations count="2">
    <dataValidation type="list" errorStyle="information" allowBlank="1" showErrorMessage="1" errorTitle="错误提示" error="请输入下拉列表中的一个值" sqref="S3:S19" xr:uid="{00000000-0002-0000-0400-000000000000}">
      <formula1>"RAM, ROM, FLASH, EEPROM"</formula1>
    </dataValidation>
    <dataValidation type="list" errorStyle="information" allowBlank="1" showErrorMessage="1" errorTitle="错误提示" error="请输入下拉列表中的一个值" sqref="T3:T19" xr:uid="{00000000-0002-0000-0400-000001000000}">
      <formula1>"FixedInfo, ProductCfg, CustomerCfg, OperateData, RideData, NA"</formula1>
    </dataValidation>
  </dataValidations>
  <pageMargins left="0.7" right="0.7" top="0.75" bottom="0.75" header="0.3" footer="0.3"/>
  <pageSetup paperSize="9" scale="38" fitToHeight="0" orientation="landscape"/>
  <headerFooter>
    <oddHeader>&amp;R&amp;G</oddHead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48"/>
  <sheetViews>
    <sheetView showGridLines="0" workbookViewId="0">
      <pane ySplit="2" topLeftCell="A3" activePane="bottomLeft" state="frozen"/>
      <selection pane="bottomLeft" activeCell="U3" sqref="U3"/>
    </sheetView>
  </sheetViews>
  <sheetFormatPr baseColWidth="10" defaultColWidth="14" defaultRowHeight="14"/>
  <cols>
    <col min="1" max="1" width="8" customWidth="1"/>
    <col min="2" max="2" width="16" style="54" customWidth="1"/>
    <col min="3" max="3" width="38" customWidth="1"/>
    <col min="4" max="4" width="21.3984375" customWidth="1"/>
    <col min="5" max="19" width="15.59765625" customWidth="1"/>
    <col min="20" max="20" width="15.59765625" style="54" customWidth="1"/>
    <col min="21" max="21" width="47.796875" customWidth="1"/>
  </cols>
  <sheetData>
    <row r="1" spans="1:21" s="1" customFormat="1" ht="36" customHeight="1">
      <c r="A1" s="12"/>
      <c r="B1" s="12"/>
      <c r="C1" s="12"/>
      <c r="D1" s="12"/>
      <c r="E1" s="12"/>
      <c r="F1" s="12"/>
      <c r="G1" s="12"/>
      <c r="H1" s="12"/>
      <c r="I1" s="12"/>
      <c r="J1" s="24"/>
      <c r="K1" s="24" t="s">
        <v>782</v>
      </c>
      <c r="L1" s="12"/>
      <c r="M1" s="12"/>
      <c r="N1" s="12"/>
      <c r="O1" s="12"/>
      <c r="P1" s="12"/>
      <c r="Q1" s="61"/>
      <c r="R1" s="61"/>
      <c r="S1" s="61"/>
      <c r="T1" s="62"/>
      <c r="U1" s="61"/>
    </row>
    <row r="2" spans="1:21" s="1" customFormat="1" ht="36" customHeight="1">
      <c r="A2" s="50" t="s">
        <v>52</v>
      </c>
      <c r="B2" s="50" t="s">
        <v>53</v>
      </c>
      <c r="C2" s="50" t="s">
        <v>54</v>
      </c>
      <c r="D2" s="50" t="s">
        <v>55</v>
      </c>
      <c r="E2" s="20" t="s">
        <v>56</v>
      </c>
      <c r="F2" s="20" t="s">
        <v>57</v>
      </c>
      <c r="G2" s="20" t="s">
        <v>58</v>
      </c>
      <c r="H2" s="50" t="s">
        <v>59</v>
      </c>
      <c r="I2" s="50" t="s">
        <v>60</v>
      </c>
      <c r="J2" s="50" t="s">
        <v>61</v>
      </c>
      <c r="K2" s="50" t="s">
        <v>62</v>
      </c>
      <c r="L2" s="50" t="s">
        <v>63</v>
      </c>
      <c r="M2" s="50" t="s">
        <v>64</v>
      </c>
      <c r="N2" s="13" t="s">
        <v>65</v>
      </c>
      <c r="O2" s="50" t="s">
        <v>66</v>
      </c>
      <c r="P2" s="50" t="s">
        <v>67</v>
      </c>
      <c r="Q2" s="13" t="s">
        <v>68</v>
      </c>
      <c r="R2" s="13" t="s">
        <v>69</v>
      </c>
      <c r="S2" s="13" t="s">
        <v>70</v>
      </c>
      <c r="T2" s="13" t="s">
        <v>71</v>
      </c>
      <c r="U2" s="50" t="s">
        <v>72</v>
      </c>
    </row>
    <row r="3" spans="1:21" ht="170">
      <c r="A3" s="55">
        <f t="shared" ref="A3:A24" si="0">ROW()-2</f>
        <v>1</v>
      </c>
      <c r="B3" s="56" t="s">
        <v>783</v>
      </c>
      <c r="C3" s="57" t="s">
        <v>784</v>
      </c>
      <c r="D3" s="58" t="s">
        <v>76</v>
      </c>
      <c r="E3" s="16" t="s">
        <v>76</v>
      </c>
      <c r="F3" s="21" t="s">
        <v>785</v>
      </c>
      <c r="G3" s="16" t="s">
        <v>786</v>
      </c>
      <c r="H3" s="59" t="s">
        <v>79</v>
      </c>
      <c r="I3" s="60">
        <v>1</v>
      </c>
      <c r="J3" s="60">
        <v>0</v>
      </c>
      <c r="K3" s="60">
        <v>1</v>
      </c>
      <c r="L3" s="60">
        <v>0</v>
      </c>
      <c r="M3" s="60">
        <v>4</v>
      </c>
      <c r="N3" s="60">
        <v>0</v>
      </c>
      <c r="O3" s="60" t="s">
        <v>80</v>
      </c>
      <c r="P3" s="59" t="s">
        <v>119</v>
      </c>
      <c r="Q3" s="59" t="s">
        <v>82</v>
      </c>
      <c r="R3" s="59" t="s">
        <v>80</v>
      </c>
      <c r="S3" s="29" t="s">
        <v>83</v>
      </c>
      <c r="T3" s="30" t="s">
        <v>84</v>
      </c>
      <c r="U3" s="63" t="s">
        <v>787</v>
      </c>
    </row>
    <row r="4" spans="1:21" ht="32">
      <c r="A4" s="55">
        <f t="shared" si="0"/>
        <v>2</v>
      </c>
      <c r="B4" s="56" t="s">
        <v>788</v>
      </c>
      <c r="C4" s="57" t="s">
        <v>789</v>
      </c>
      <c r="D4" s="58" t="s">
        <v>76</v>
      </c>
      <c r="E4" s="16" t="s">
        <v>76</v>
      </c>
      <c r="F4" s="21" t="s">
        <v>785</v>
      </c>
      <c r="G4" s="16" t="s">
        <v>786</v>
      </c>
      <c r="H4" s="59" t="s">
        <v>79</v>
      </c>
      <c r="I4" s="60">
        <v>1</v>
      </c>
      <c r="J4" s="60">
        <v>0</v>
      </c>
      <c r="K4" s="60">
        <v>1</v>
      </c>
      <c r="L4" s="60">
        <v>0</v>
      </c>
      <c r="M4" s="60">
        <v>100</v>
      </c>
      <c r="N4" s="60">
        <v>100</v>
      </c>
      <c r="O4" s="60" t="s">
        <v>316</v>
      </c>
      <c r="P4" s="59" t="s">
        <v>119</v>
      </c>
      <c r="Q4" s="59" t="s">
        <v>82</v>
      </c>
      <c r="R4" s="59" t="s">
        <v>80</v>
      </c>
      <c r="S4" s="29" t="s">
        <v>83</v>
      </c>
      <c r="T4" s="30" t="s">
        <v>84</v>
      </c>
      <c r="U4" s="64" t="s">
        <v>790</v>
      </c>
    </row>
    <row r="5" spans="1:21" ht="35.25" customHeight="1">
      <c r="A5" s="55">
        <f t="shared" si="0"/>
        <v>3</v>
      </c>
      <c r="B5" s="56" t="s">
        <v>791</v>
      </c>
      <c r="C5" s="57" t="s">
        <v>792</v>
      </c>
      <c r="D5" s="58" t="s">
        <v>76</v>
      </c>
      <c r="E5" s="16" t="s">
        <v>76</v>
      </c>
      <c r="F5" s="21" t="s">
        <v>785</v>
      </c>
      <c r="G5" s="16" t="s">
        <v>786</v>
      </c>
      <c r="H5" s="59" t="s">
        <v>210</v>
      </c>
      <c r="I5" s="60">
        <v>2</v>
      </c>
      <c r="J5" s="60">
        <v>0</v>
      </c>
      <c r="K5" s="60">
        <v>0.01</v>
      </c>
      <c r="L5" s="60">
        <v>0</v>
      </c>
      <c r="M5" s="60">
        <v>100</v>
      </c>
      <c r="N5" s="59">
        <v>0</v>
      </c>
      <c r="O5" s="59" t="s">
        <v>311</v>
      </c>
      <c r="P5" s="59" t="s">
        <v>119</v>
      </c>
      <c r="Q5" s="59" t="s">
        <v>82</v>
      </c>
      <c r="R5" s="59" t="s">
        <v>80</v>
      </c>
      <c r="S5" s="29" t="s">
        <v>83</v>
      </c>
      <c r="T5" s="30" t="s">
        <v>84</v>
      </c>
      <c r="U5" s="65" t="s">
        <v>793</v>
      </c>
    </row>
    <row r="6" spans="1:21" ht="36" customHeight="1">
      <c r="A6" s="55">
        <f t="shared" si="0"/>
        <v>4</v>
      </c>
      <c r="B6" s="56" t="s">
        <v>794</v>
      </c>
      <c r="C6" s="57" t="s">
        <v>795</v>
      </c>
      <c r="D6" s="58" t="s">
        <v>76</v>
      </c>
      <c r="E6" s="16" t="s">
        <v>76</v>
      </c>
      <c r="F6" s="21" t="s">
        <v>785</v>
      </c>
      <c r="G6" s="16" t="s">
        <v>786</v>
      </c>
      <c r="H6" s="59" t="s">
        <v>210</v>
      </c>
      <c r="I6" s="60">
        <v>2</v>
      </c>
      <c r="J6" s="60">
        <v>0</v>
      </c>
      <c r="K6" s="60">
        <v>0.01</v>
      </c>
      <c r="L6" s="60">
        <v>0</v>
      </c>
      <c r="M6" s="60">
        <v>100</v>
      </c>
      <c r="N6" s="59">
        <v>0</v>
      </c>
      <c r="O6" s="59" t="s">
        <v>311</v>
      </c>
      <c r="P6" s="59" t="s">
        <v>119</v>
      </c>
      <c r="Q6" s="59" t="s">
        <v>82</v>
      </c>
      <c r="R6" s="59" t="s">
        <v>80</v>
      </c>
      <c r="S6" s="29" t="s">
        <v>135</v>
      </c>
      <c r="T6" s="30" t="s">
        <v>84</v>
      </c>
      <c r="U6" s="65" t="s">
        <v>796</v>
      </c>
    </row>
    <row r="7" spans="1:21" ht="45.75" customHeight="1">
      <c r="A7" s="55">
        <f t="shared" si="0"/>
        <v>5</v>
      </c>
      <c r="B7" s="56" t="s">
        <v>797</v>
      </c>
      <c r="C7" s="57" t="s">
        <v>798</v>
      </c>
      <c r="D7" s="58" t="s">
        <v>76</v>
      </c>
      <c r="E7" s="16" t="s">
        <v>76</v>
      </c>
      <c r="F7" s="21" t="s">
        <v>785</v>
      </c>
      <c r="G7" s="16" t="s">
        <v>786</v>
      </c>
      <c r="H7" s="60" t="s">
        <v>534</v>
      </c>
      <c r="I7" s="60">
        <v>2</v>
      </c>
      <c r="J7" s="60">
        <v>0</v>
      </c>
      <c r="K7" s="60">
        <v>0.01</v>
      </c>
      <c r="L7" s="60">
        <v>-50</v>
      </c>
      <c r="M7" s="60">
        <v>50</v>
      </c>
      <c r="N7" s="59">
        <v>0</v>
      </c>
      <c r="O7" s="59" t="s">
        <v>303</v>
      </c>
      <c r="P7" s="59" t="s">
        <v>119</v>
      </c>
      <c r="Q7" s="59" t="s">
        <v>82</v>
      </c>
      <c r="R7" s="59" t="s">
        <v>80</v>
      </c>
      <c r="S7" s="29" t="s">
        <v>83</v>
      </c>
      <c r="T7" s="30" t="s">
        <v>84</v>
      </c>
      <c r="U7" s="65" t="s">
        <v>799</v>
      </c>
    </row>
    <row r="8" spans="1:21" ht="36" customHeight="1">
      <c r="A8" s="55">
        <f t="shared" si="0"/>
        <v>6</v>
      </c>
      <c r="B8" s="56" t="s">
        <v>800</v>
      </c>
      <c r="C8" s="57" t="s">
        <v>801</v>
      </c>
      <c r="D8" s="58" t="s">
        <v>76</v>
      </c>
      <c r="E8" s="16" t="s">
        <v>76</v>
      </c>
      <c r="F8" s="21" t="s">
        <v>785</v>
      </c>
      <c r="G8" s="16" t="s">
        <v>786</v>
      </c>
      <c r="H8" s="59" t="s">
        <v>210</v>
      </c>
      <c r="I8" s="60">
        <v>2</v>
      </c>
      <c r="J8" s="60">
        <v>0</v>
      </c>
      <c r="K8" s="60">
        <v>1</v>
      </c>
      <c r="L8" s="60">
        <v>0</v>
      </c>
      <c r="M8" s="60">
        <v>65000</v>
      </c>
      <c r="N8" s="60">
        <v>0</v>
      </c>
      <c r="O8" s="60" t="s">
        <v>802</v>
      </c>
      <c r="P8" s="59" t="s">
        <v>119</v>
      </c>
      <c r="Q8" s="59" t="s">
        <v>82</v>
      </c>
      <c r="R8" s="59" t="s">
        <v>80</v>
      </c>
      <c r="S8" s="29" t="s">
        <v>83</v>
      </c>
      <c r="T8" s="30" t="s">
        <v>84</v>
      </c>
      <c r="U8" s="64" t="s">
        <v>803</v>
      </c>
    </row>
    <row r="9" spans="1:21" ht="36" customHeight="1">
      <c r="A9" s="55">
        <f t="shared" si="0"/>
        <v>7</v>
      </c>
      <c r="B9" s="56" t="s">
        <v>804</v>
      </c>
      <c r="C9" s="57" t="s">
        <v>805</v>
      </c>
      <c r="D9" s="58" t="s">
        <v>76</v>
      </c>
      <c r="E9" s="16" t="s">
        <v>76</v>
      </c>
      <c r="F9" s="21" t="s">
        <v>785</v>
      </c>
      <c r="G9" s="16" t="s">
        <v>786</v>
      </c>
      <c r="H9" s="59" t="s">
        <v>210</v>
      </c>
      <c r="I9" s="60">
        <v>2</v>
      </c>
      <c r="J9" s="60">
        <v>0</v>
      </c>
      <c r="K9" s="60">
        <v>1</v>
      </c>
      <c r="L9" s="60">
        <v>0</v>
      </c>
      <c r="M9" s="60">
        <v>65000</v>
      </c>
      <c r="N9" s="60">
        <v>0</v>
      </c>
      <c r="O9" s="60" t="s">
        <v>802</v>
      </c>
      <c r="P9" s="59" t="s">
        <v>119</v>
      </c>
      <c r="Q9" s="59" t="s">
        <v>82</v>
      </c>
      <c r="R9" s="59" t="s">
        <v>80</v>
      </c>
      <c r="S9" s="29" t="s">
        <v>83</v>
      </c>
      <c r="T9" s="30" t="s">
        <v>84</v>
      </c>
      <c r="U9" s="64" t="s">
        <v>806</v>
      </c>
    </row>
    <row r="10" spans="1:21" ht="36" customHeight="1">
      <c r="A10" s="55">
        <f t="shared" si="0"/>
        <v>8</v>
      </c>
      <c r="B10" s="56" t="s">
        <v>807</v>
      </c>
      <c r="C10" s="57" t="s">
        <v>808</v>
      </c>
      <c r="D10" s="58" t="s">
        <v>76</v>
      </c>
      <c r="E10" s="16" t="s">
        <v>76</v>
      </c>
      <c r="F10" s="21" t="s">
        <v>785</v>
      </c>
      <c r="G10" s="16" t="s">
        <v>786</v>
      </c>
      <c r="H10" s="59" t="s">
        <v>210</v>
      </c>
      <c r="I10" s="60">
        <v>2</v>
      </c>
      <c r="J10" s="60">
        <v>0</v>
      </c>
      <c r="K10" s="60">
        <v>1</v>
      </c>
      <c r="L10" s="60">
        <v>0</v>
      </c>
      <c r="M10" s="60">
        <v>65000</v>
      </c>
      <c r="N10" s="60">
        <v>0</v>
      </c>
      <c r="O10" s="60" t="s">
        <v>802</v>
      </c>
      <c r="P10" s="59" t="s">
        <v>119</v>
      </c>
      <c r="Q10" s="59" t="s">
        <v>82</v>
      </c>
      <c r="R10" s="59" t="s">
        <v>80</v>
      </c>
      <c r="S10" s="29" t="s">
        <v>135</v>
      </c>
      <c r="T10" s="30" t="s">
        <v>84</v>
      </c>
      <c r="U10" s="65" t="s">
        <v>809</v>
      </c>
    </row>
    <row r="11" spans="1:21" ht="36" customHeight="1">
      <c r="A11" s="55">
        <f t="shared" si="0"/>
        <v>9</v>
      </c>
      <c r="B11" s="56" t="s">
        <v>810</v>
      </c>
      <c r="C11" s="57" t="s">
        <v>811</v>
      </c>
      <c r="D11" s="58" t="s">
        <v>76</v>
      </c>
      <c r="E11" s="16" t="s">
        <v>76</v>
      </c>
      <c r="F11" s="21" t="s">
        <v>785</v>
      </c>
      <c r="G11" s="16" t="s">
        <v>786</v>
      </c>
      <c r="H11" s="59" t="s">
        <v>79</v>
      </c>
      <c r="I11" s="60">
        <v>1</v>
      </c>
      <c r="J11" s="60">
        <v>0</v>
      </c>
      <c r="K11" s="60">
        <v>1</v>
      </c>
      <c r="L11" s="60">
        <v>0</v>
      </c>
      <c r="M11" s="60">
        <v>100</v>
      </c>
      <c r="N11" s="60">
        <v>0</v>
      </c>
      <c r="O11" s="60" t="s">
        <v>316</v>
      </c>
      <c r="P11" s="59" t="s">
        <v>119</v>
      </c>
      <c r="Q11" s="59" t="s">
        <v>82</v>
      </c>
      <c r="R11" s="59" t="s">
        <v>80</v>
      </c>
      <c r="S11" s="29" t="s">
        <v>83</v>
      </c>
      <c r="T11" s="30" t="s">
        <v>84</v>
      </c>
      <c r="U11" s="65" t="s">
        <v>812</v>
      </c>
    </row>
    <row r="12" spans="1:21" ht="36" customHeight="1">
      <c r="A12" s="55">
        <f t="shared" si="0"/>
        <v>10</v>
      </c>
      <c r="B12" s="56" t="s">
        <v>813</v>
      </c>
      <c r="C12" s="57" t="s">
        <v>814</v>
      </c>
      <c r="D12" s="58" t="s">
        <v>76</v>
      </c>
      <c r="E12" s="16" t="s">
        <v>76</v>
      </c>
      <c r="F12" s="21" t="s">
        <v>785</v>
      </c>
      <c r="G12" s="16" t="s">
        <v>786</v>
      </c>
      <c r="H12" s="59" t="s">
        <v>210</v>
      </c>
      <c r="I12" s="60">
        <v>2</v>
      </c>
      <c r="J12" s="60">
        <v>0</v>
      </c>
      <c r="K12" s="60">
        <v>1</v>
      </c>
      <c r="L12" s="60">
        <v>0</v>
      </c>
      <c r="M12" s="60">
        <v>65535</v>
      </c>
      <c r="N12" s="60">
        <v>0</v>
      </c>
      <c r="O12" s="60" t="s">
        <v>815</v>
      </c>
      <c r="P12" s="59" t="s">
        <v>119</v>
      </c>
      <c r="Q12" s="59" t="s">
        <v>82</v>
      </c>
      <c r="R12" s="59" t="s">
        <v>80</v>
      </c>
      <c r="S12" s="29" t="s">
        <v>135</v>
      </c>
      <c r="T12" s="30" t="s">
        <v>84</v>
      </c>
      <c r="U12" s="65" t="s">
        <v>816</v>
      </c>
    </row>
    <row r="13" spans="1:21" ht="36" customHeight="1">
      <c r="A13" s="55">
        <f t="shared" si="0"/>
        <v>11</v>
      </c>
      <c r="B13" s="56" t="s">
        <v>817</v>
      </c>
      <c r="C13" s="57" t="s">
        <v>818</v>
      </c>
      <c r="D13" s="58" t="s">
        <v>76</v>
      </c>
      <c r="E13" s="16" t="s">
        <v>76</v>
      </c>
      <c r="F13" s="21" t="s">
        <v>785</v>
      </c>
      <c r="G13" s="16" t="s">
        <v>786</v>
      </c>
      <c r="H13" s="59" t="s">
        <v>210</v>
      </c>
      <c r="I13" s="60">
        <v>2</v>
      </c>
      <c r="J13" s="60">
        <v>0</v>
      </c>
      <c r="K13" s="60">
        <v>1</v>
      </c>
      <c r="L13" s="60">
        <v>0</v>
      </c>
      <c r="M13" s="60">
        <v>65535</v>
      </c>
      <c r="N13" s="59">
        <v>0</v>
      </c>
      <c r="O13" s="59" t="s">
        <v>819</v>
      </c>
      <c r="P13" s="59" t="s">
        <v>119</v>
      </c>
      <c r="Q13" s="59" t="s">
        <v>82</v>
      </c>
      <c r="R13" s="59" t="s">
        <v>80</v>
      </c>
      <c r="S13" s="29" t="s">
        <v>83</v>
      </c>
      <c r="T13" s="30" t="s">
        <v>84</v>
      </c>
      <c r="U13" s="64" t="s">
        <v>820</v>
      </c>
    </row>
    <row r="14" spans="1:21" ht="36" customHeight="1">
      <c r="A14" s="55">
        <f t="shared" si="0"/>
        <v>12</v>
      </c>
      <c r="B14" s="56" t="s">
        <v>821</v>
      </c>
      <c r="C14" s="57" t="s">
        <v>822</v>
      </c>
      <c r="D14" s="58" t="s">
        <v>76</v>
      </c>
      <c r="E14" s="16" t="s">
        <v>76</v>
      </c>
      <c r="F14" s="21" t="s">
        <v>785</v>
      </c>
      <c r="G14" s="16" t="s">
        <v>786</v>
      </c>
      <c r="H14" s="59" t="s">
        <v>210</v>
      </c>
      <c r="I14" s="60">
        <v>2</v>
      </c>
      <c r="J14" s="60">
        <v>0</v>
      </c>
      <c r="K14" s="60">
        <v>0.01</v>
      </c>
      <c r="L14" s="60">
        <v>0</v>
      </c>
      <c r="M14" s="60">
        <v>50</v>
      </c>
      <c r="N14" s="59">
        <v>0</v>
      </c>
      <c r="O14" s="59" t="s">
        <v>303</v>
      </c>
      <c r="P14" s="59" t="s">
        <v>119</v>
      </c>
      <c r="Q14" s="59" t="s">
        <v>82</v>
      </c>
      <c r="R14" s="59" t="s">
        <v>80</v>
      </c>
      <c r="S14" s="29" t="s">
        <v>135</v>
      </c>
      <c r="T14" s="30" t="s">
        <v>84</v>
      </c>
      <c r="U14" s="65" t="s">
        <v>823</v>
      </c>
    </row>
    <row r="15" spans="1:21" ht="36" customHeight="1">
      <c r="A15" s="55">
        <f t="shared" si="0"/>
        <v>13</v>
      </c>
      <c r="B15" s="56" t="s">
        <v>824</v>
      </c>
      <c r="C15" s="57" t="s">
        <v>825</v>
      </c>
      <c r="D15" s="58" t="s">
        <v>76</v>
      </c>
      <c r="E15" s="16" t="s">
        <v>76</v>
      </c>
      <c r="F15" s="21" t="s">
        <v>785</v>
      </c>
      <c r="G15" s="16" t="s">
        <v>786</v>
      </c>
      <c r="H15" s="59" t="s">
        <v>210</v>
      </c>
      <c r="I15" s="60">
        <v>2</v>
      </c>
      <c r="J15" s="60">
        <v>0</v>
      </c>
      <c r="K15" s="60">
        <v>0.01</v>
      </c>
      <c r="L15" s="60">
        <v>0</v>
      </c>
      <c r="M15" s="60">
        <v>50</v>
      </c>
      <c r="N15" s="59">
        <v>0</v>
      </c>
      <c r="O15" s="59" t="s">
        <v>303</v>
      </c>
      <c r="P15" s="59" t="s">
        <v>119</v>
      </c>
      <c r="Q15" s="59" t="s">
        <v>82</v>
      </c>
      <c r="R15" s="59" t="s">
        <v>80</v>
      </c>
      <c r="S15" s="29" t="s">
        <v>135</v>
      </c>
      <c r="T15" s="30" t="s">
        <v>84</v>
      </c>
      <c r="U15" s="65" t="s">
        <v>826</v>
      </c>
    </row>
    <row r="16" spans="1:21" ht="36" customHeight="1">
      <c r="A16" s="55">
        <f t="shared" si="0"/>
        <v>14</v>
      </c>
      <c r="B16" s="56" t="s">
        <v>827</v>
      </c>
      <c r="C16" s="57" t="s">
        <v>828</v>
      </c>
      <c r="D16" s="58" t="s">
        <v>76</v>
      </c>
      <c r="E16" s="16" t="s">
        <v>76</v>
      </c>
      <c r="F16" s="21" t="s">
        <v>785</v>
      </c>
      <c r="G16" s="16" t="s">
        <v>786</v>
      </c>
      <c r="H16" s="59" t="s">
        <v>210</v>
      </c>
      <c r="I16" s="60">
        <v>2</v>
      </c>
      <c r="J16" s="60">
        <v>-40</v>
      </c>
      <c r="K16" s="60">
        <v>0.1</v>
      </c>
      <c r="L16" s="60">
        <v>0</v>
      </c>
      <c r="M16" s="60">
        <v>1000</v>
      </c>
      <c r="N16" s="60">
        <v>0</v>
      </c>
      <c r="O16" s="60" t="s">
        <v>695</v>
      </c>
      <c r="P16" s="59" t="s">
        <v>119</v>
      </c>
      <c r="Q16" s="59" t="s">
        <v>82</v>
      </c>
      <c r="R16" s="59" t="s">
        <v>80</v>
      </c>
      <c r="S16" s="29" t="s">
        <v>83</v>
      </c>
      <c r="T16" s="30" t="s">
        <v>84</v>
      </c>
      <c r="U16" s="65" t="s">
        <v>829</v>
      </c>
    </row>
    <row r="17" spans="1:21" ht="36" customHeight="1">
      <c r="A17" s="55">
        <f t="shared" si="0"/>
        <v>15</v>
      </c>
      <c r="B17" s="56" t="s">
        <v>830</v>
      </c>
      <c r="C17" s="57" t="s">
        <v>831</v>
      </c>
      <c r="D17" s="58" t="s">
        <v>76</v>
      </c>
      <c r="E17" s="16" t="s">
        <v>76</v>
      </c>
      <c r="F17" s="21" t="s">
        <v>785</v>
      </c>
      <c r="G17" s="16" t="s">
        <v>786</v>
      </c>
      <c r="H17" s="59" t="s">
        <v>210</v>
      </c>
      <c r="I17" s="60">
        <v>2</v>
      </c>
      <c r="J17" s="60">
        <v>-40</v>
      </c>
      <c r="K17" s="60">
        <v>0.1</v>
      </c>
      <c r="L17" s="60">
        <v>0</v>
      </c>
      <c r="M17" s="60">
        <v>1000</v>
      </c>
      <c r="N17" s="60">
        <v>0</v>
      </c>
      <c r="O17" s="60" t="s">
        <v>695</v>
      </c>
      <c r="P17" s="59" t="s">
        <v>119</v>
      </c>
      <c r="Q17" s="59" t="s">
        <v>82</v>
      </c>
      <c r="R17" s="59" t="s">
        <v>80</v>
      </c>
      <c r="S17" s="29" t="s">
        <v>83</v>
      </c>
      <c r="T17" s="30" t="s">
        <v>84</v>
      </c>
      <c r="U17" s="65" t="s">
        <v>832</v>
      </c>
    </row>
    <row r="18" spans="1:21" ht="36" customHeight="1">
      <c r="A18" s="55">
        <f t="shared" si="0"/>
        <v>16</v>
      </c>
      <c r="B18" s="56" t="s">
        <v>833</v>
      </c>
      <c r="C18" s="57" t="s">
        <v>834</v>
      </c>
      <c r="D18" s="58" t="s">
        <v>76</v>
      </c>
      <c r="E18" s="16" t="s">
        <v>76</v>
      </c>
      <c r="F18" s="21" t="s">
        <v>785</v>
      </c>
      <c r="G18" s="16" t="s">
        <v>786</v>
      </c>
      <c r="H18" s="59" t="s">
        <v>210</v>
      </c>
      <c r="I18" s="60">
        <v>2</v>
      </c>
      <c r="J18" s="60">
        <v>-40</v>
      </c>
      <c r="K18" s="60">
        <v>0.1</v>
      </c>
      <c r="L18" s="60">
        <v>0</v>
      </c>
      <c r="M18" s="60">
        <v>1000</v>
      </c>
      <c r="N18" s="60">
        <v>0</v>
      </c>
      <c r="O18" s="60" t="s">
        <v>695</v>
      </c>
      <c r="P18" s="59" t="s">
        <v>119</v>
      </c>
      <c r="Q18" s="59" t="s">
        <v>82</v>
      </c>
      <c r="R18" s="59" t="s">
        <v>80</v>
      </c>
      <c r="S18" s="29" t="s">
        <v>83</v>
      </c>
      <c r="T18" s="30" t="s">
        <v>84</v>
      </c>
      <c r="U18" s="65" t="s">
        <v>835</v>
      </c>
    </row>
    <row r="19" spans="1:21" ht="36" customHeight="1">
      <c r="A19" s="55">
        <f t="shared" si="0"/>
        <v>17</v>
      </c>
      <c r="B19" s="56" t="s">
        <v>836</v>
      </c>
      <c r="C19" s="57" t="s">
        <v>837</v>
      </c>
      <c r="D19" s="58" t="s">
        <v>76</v>
      </c>
      <c r="E19" s="16" t="s">
        <v>76</v>
      </c>
      <c r="F19" s="21" t="s">
        <v>785</v>
      </c>
      <c r="G19" s="16" t="s">
        <v>786</v>
      </c>
      <c r="H19" s="59" t="s">
        <v>210</v>
      </c>
      <c r="I19" s="60">
        <v>2</v>
      </c>
      <c r="J19" s="60">
        <v>-40</v>
      </c>
      <c r="K19" s="60">
        <v>0.1</v>
      </c>
      <c r="L19" s="60">
        <v>0</v>
      </c>
      <c r="M19" s="60">
        <v>1000</v>
      </c>
      <c r="N19" s="60">
        <v>0</v>
      </c>
      <c r="O19" s="60" t="s">
        <v>695</v>
      </c>
      <c r="P19" s="59" t="s">
        <v>119</v>
      </c>
      <c r="Q19" s="59" t="s">
        <v>82</v>
      </c>
      <c r="R19" s="59" t="s">
        <v>80</v>
      </c>
      <c r="S19" s="29" t="s">
        <v>83</v>
      </c>
      <c r="T19" s="30" t="s">
        <v>84</v>
      </c>
      <c r="U19" s="65" t="s">
        <v>838</v>
      </c>
    </row>
    <row r="20" spans="1:21" ht="31.5" customHeight="1">
      <c r="A20" s="55">
        <f t="shared" si="0"/>
        <v>18</v>
      </c>
      <c r="B20" s="56" t="s">
        <v>839</v>
      </c>
      <c r="C20" s="57" t="s">
        <v>840</v>
      </c>
      <c r="D20" s="58" t="s">
        <v>76</v>
      </c>
      <c r="E20" s="16" t="s">
        <v>76</v>
      </c>
      <c r="F20" s="21" t="s">
        <v>785</v>
      </c>
      <c r="G20" s="16" t="s">
        <v>786</v>
      </c>
      <c r="H20" s="59" t="s">
        <v>210</v>
      </c>
      <c r="I20" s="60">
        <v>2</v>
      </c>
      <c r="J20" s="60">
        <v>-40</v>
      </c>
      <c r="K20" s="60">
        <v>0.1</v>
      </c>
      <c r="L20" s="60">
        <v>0</v>
      </c>
      <c r="M20" s="60">
        <v>1000</v>
      </c>
      <c r="N20" s="60">
        <v>0</v>
      </c>
      <c r="O20" s="60" t="s">
        <v>695</v>
      </c>
      <c r="P20" s="59" t="s">
        <v>119</v>
      </c>
      <c r="Q20" s="59" t="s">
        <v>82</v>
      </c>
      <c r="R20" s="59" t="s">
        <v>80</v>
      </c>
      <c r="S20" s="29" t="s">
        <v>83</v>
      </c>
      <c r="T20" s="30" t="s">
        <v>84</v>
      </c>
      <c r="U20" s="65" t="s">
        <v>841</v>
      </c>
    </row>
    <row r="21" spans="1:21" ht="31.5" customHeight="1">
      <c r="A21" s="55">
        <f t="shared" si="0"/>
        <v>19</v>
      </c>
      <c r="B21" s="56" t="s">
        <v>842</v>
      </c>
      <c r="C21" s="57" t="s">
        <v>843</v>
      </c>
      <c r="D21" s="58" t="s">
        <v>76</v>
      </c>
      <c r="E21" s="16" t="s">
        <v>76</v>
      </c>
      <c r="F21" s="21" t="s">
        <v>785</v>
      </c>
      <c r="G21" s="16" t="s">
        <v>786</v>
      </c>
      <c r="H21" s="59" t="s">
        <v>210</v>
      </c>
      <c r="I21" s="60">
        <v>2</v>
      </c>
      <c r="J21" s="60">
        <v>-40</v>
      </c>
      <c r="K21" s="60">
        <v>0.1</v>
      </c>
      <c r="L21" s="60">
        <v>0</v>
      </c>
      <c r="M21" s="60">
        <v>1000</v>
      </c>
      <c r="N21" s="60">
        <v>0</v>
      </c>
      <c r="O21" s="60" t="s">
        <v>695</v>
      </c>
      <c r="P21" s="59" t="s">
        <v>119</v>
      </c>
      <c r="Q21" s="59" t="s">
        <v>82</v>
      </c>
      <c r="R21" s="59" t="s">
        <v>80</v>
      </c>
      <c r="S21" s="29" t="s">
        <v>83</v>
      </c>
      <c r="T21" s="30" t="s">
        <v>84</v>
      </c>
      <c r="U21" s="65" t="s">
        <v>844</v>
      </c>
    </row>
    <row r="22" spans="1:21" ht="31.5" customHeight="1">
      <c r="A22" s="55">
        <f t="shared" si="0"/>
        <v>20</v>
      </c>
      <c r="B22" s="56" t="s">
        <v>845</v>
      </c>
      <c r="C22" s="57" t="s">
        <v>846</v>
      </c>
      <c r="D22" s="58" t="s">
        <v>76</v>
      </c>
      <c r="E22" s="16" t="s">
        <v>76</v>
      </c>
      <c r="F22" s="21" t="s">
        <v>785</v>
      </c>
      <c r="G22" s="16" t="s">
        <v>786</v>
      </c>
      <c r="H22" s="59" t="s">
        <v>210</v>
      </c>
      <c r="I22" s="60">
        <v>2</v>
      </c>
      <c r="J22" s="60">
        <v>-40</v>
      </c>
      <c r="K22" s="60">
        <v>0.1</v>
      </c>
      <c r="L22" s="60">
        <v>0</v>
      </c>
      <c r="M22" s="60">
        <v>1000</v>
      </c>
      <c r="N22" s="60">
        <v>0</v>
      </c>
      <c r="O22" s="60" t="s">
        <v>695</v>
      </c>
      <c r="P22" s="59" t="s">
        <v>119</v>
      </c>
      <c r="Q22" s="59" t="s">
        <v>82</v>
      </c>
      <c r="R22" s="59" t="s">
        <v>80</v>
      </c>
      <c r="S22" s="29" t="s">
        <v>83</v>
      </c>
      <c r="T22" s="30" t="s">
        <v>84</v>
      </c>
      <c r="U22" s="65" t="s">
        <v>847</v>
      </c>
    </row>
    <row r="23" spans="1:21" ht="31.5" customHeight="1">
      <c r="A23" s="55">
        <f t="shared" si="0"/>
        <v>21</v>
      </c>
      <c r="B23" s="56" t="s">
        <v>848</v>
      </c>
      <c r="C23" s="57" t="s">
        <v>849</v>
      </c>
      <c r="D23" s="58" t="s">
        <v>76</v>
      </c>
      <c r="E23" s="16" t="s">
        <v>76</v>
      </c>
      <c r="F23" s="21" t="s">
        <v>785</v>
      </c>
      <c r="G23" s="16" t="s">
        <v>786</v>
      </c>
      <c r="H23" s="59" t="s">
        <v>210</v>
      </c>
      <c r="I23" s="60">
        <v>2</v>
      </c>
      <c r="J23" s="60">
        <v>-40</v>
      </c>
      <c r="K23" s="60">
        <v>0.1</v>
      </c>
      <c r="L23" s="60">
        <v>0</v>
      </c>
      <c r="M23" s="60">
        <v>1000</v>
      </c>
      <c r="N23" s="60">
        <v>0</v>
      </c>
      <c r="O23" s="60" t="s">
        <v>695</v>
      </c>
      <c r="P23" s="59" t="s">
        <v>119</v>
      </c>
      <c r="Q23" s="59" t="s">
        <v>82</v>
      </c>
      <c r="R23" s="59" t="s">
        <v>80</v>
      </c>
      <c r="S23" s="29" t="s">
        <v>83</v>
      </c>
      <c r="T23" s="30" t="s">
        <v>84</v>
      </c>
      <c r="U23" s="65" t="s">
        <v>850</v>
      </c>
    </row>
    <row r="24" spans="1:21" ht="42">
      <c r="A24" s="55">
        <f t="shared" si="0"/>
        <v>22</v>
      </c>
      <c r="B24" s="56" t="s">
        <v>851</v>
      </c>
      <c r="C24" s="57" t="s">
        <v>852</v>
      </c>
      <c r="D24" s="58" t="s">
        <v>76</v>
      </c>
      <c r="E24" s="16" t="s">
        <v>76</v>
      </c>
      <c r="F24" s="21" t="s">
        <v>785</v>
      </c>
      <c r="G24" s="16" t="s">
        <v>786</v>
      </c>
      <c r="H24" s="59" t="s">
        <v>79</v>
      </c>
      <c r="I24" s="60">
        <v>1</v>
      </c>
      <c r="J24" s="60">
        <v>0</v>
      </c>
      <c r="K24" s="60">
        <v>1</v>
      </c>
      <c r="L24" s="60">
        <v>0</v>
      </c>
      <c r="M24" s="60">
        <v>1</v>
      </c>
      <c r="N24" s="60">
        <v>0</v>
      </c>
      <c r="O24" s="59" t="s">
        <v>80</v>
      </c>
      <c r="P24" s="59" t="s">
        <v>119</v>
      </c>
      <c r="Q24" s="59" t="s">
        <v>82</v>
      </c>
      <c r="R24" s="59" t="s">
        <v>80</v>
      </c>
      <c r="S24" s="29" t="s">
        <v>83</v>
      </c>
      <c r="T24" s="30" t="s">
        <v>84</v>
      </c>
      <c r="U24" s="65" t="s">
        <v>853</v>
      </c>
    </row>
    <row r="25" spans="1:21" ht="42">
      <c r="A25" s="55">
        <f t="shared" ref="A25:A34" si="1">ROW()-2</f>
        <v>23</v>
      </c>
      <c r="B25" s="56" t="s">
        <v>854</v>
      </c>
      <c r="C25" s="57" t="s">
        <v>855</v>
      </c>
      <c r="D25" s="58" t="s">
        <v>76</v>
      </c>
      <c r="E25" s="16" t="s">
        <v>76</v>
      </c>
      <c r="F25" s="21" t="s">
        <v>785</v>
      </c>
      <c r="G25" s="16" t="s">
        <v>786</v>
      </c>
      <c r="H25" s="59" t="s">
        <v>79</v>
      </c>
      <c r="I25" s="60">
        <v>1</v>
      </c>
      <c r="J25" s="60">
        <v>0</v>
      </c>
      <c r="K25" s="60">
        <v>1</v>
      </c>
      <c r="L25" s="60">
        <v>0</v>
      </c>
      <c r="M25" s="60">
        <v>1</v>
      </c>
      <c r="N25" s="60">
        <v>0</v>
      </c>
      <c r="O25" s="59" t="s">
        <v>80</v>
      </c>
      <c r="P25" s="59" t="s">
        <v>119</v>
      </c>
      <c r="Q25" s="59" t="s">
        <v>82</v>
      </c>
      <c r="R25" s="59" t="s">
        <v>80</v>
      </c>
      <c r="S25" s="29" t="s">
        <v>83</v>
      </c>
      <c r="T25" s="30" t="s">
        <v>84</v>
      </c>
      <c r="U25" s="65" t="s">
        <v>856</v>
      </c>
    </row>
    <row r="26" spans="1:21" ht="42">
      <c r="A26" s="55">
        <f t="shared" si="1"/>
        <v>24</v>
      </c>
      <c r="B26" s="56" t="s">
        <v>857</v>
      </c>
      <c r="C26" s="57" t="s">
        <v>858</v>
      </c>
      <c r="D26" s="58" t="s">
        <v>76</v>
      </c>
      <c r="E26" s="16" t="s">
        <v>76</v>
      </c>
      <c r="F26" s="21" t="s">
        <v>785</v>
      </c>
      <c r="G26" s="16" t="s">
        <v>786</v>
      </c>
      <c r="H26" s="59" t="s">
        <v>79</v>
      </c>
      <c r="I26" s="60">
        <v>1</v>
      </c>
      <c r="J26" s="60">
        <v>0</v>
      </c>
      <c r="K26" s="60">
        <v>1</v>
      </c>
      <c r="L26" s="60">
        <v>0</v>
      </c>
      <c r="M26" s="60">
        <v>1</v>
      </c>
      <c r="N26" s="60">
        <v>0</v>
      </c>
      <c r="O26" s="59" t="s">
        <v>80</v>
      </c>
      <c r="P26" s="59" t="s">
        <v>119</v>
      </c>
      <c r="Q26" s="59" t="s">
        <v>82</v>
      </c>
      <c r="R26" s="59" t="s">
        <v>80</v>
      </c>
      <c r="S26" s="29" t="s">
        <v>83</v>
      </c>
      <c r="T26" s="30" t="s">
        <v>84</v>
      </c>
      <c r="U26" s="65" t="s">
        <v>859</v>
      </c>
    </row>
    <row r="27" spans="1:21" ht="36" customHeight="1">
      <c r="A27" s="55">
        <f t="shared" si="1"/>
        <v>25</v>
      </c>
      <c r="B27" s="56" t="s">
        <v>860</v>
      </c>
      <c r="C27" s="57" t="s">
        <v>861</v>
      </c>
      <c r="D27" s="58" t="s">
        <v>76</v>
      </c>
      <c r="E27" s="16" t="s">
        <v>76</v>
      </c>
      <c r="F27" s="21" t="s">
        <v>785</v>
      </c>
      <c r="G27" s="16" t="s">
        <v>786</v>
      </c>
      <c r="H27" s="59" t="s">
        <v>210</v>
      </c>
      <c r="I27" s="60">
        <v>2</v>
      </c>
      <c r="J27" s="60">
        <v>0</v>
      </c>
      <c r="K27" s="60">
        <v>1</v>
      </c>
      <c r="L27" s="60">
        <v>0</v>
      </c>
      <c r="M27" s="60">
        <v>4500</v>
      </c>
      <c r="N27" s="59">
        <v>0</v>
      </c>
      <c r="O27" s="59" t="s">
        <v>321</v>
      </c>
      <c r="P27" s="59" t="s">
        <v>119</v>
      </c>
      <c r="Q27" s="59" t="s">
        <v>82</v>
      </c>
      <c r="R27" s="59" t="s">
        <v>80</v>
      </c>
      <c r="S27" s="29" t="s">
        <v>135</v>
      </c>
      <c r="T27" s="30" t="s">
        <v>84</v>
      </c>
      <c r="U27" s="65" t="s">
        <v>862</v>
      </c>
    </row>
    <row r="28" spans="1:21" ht="70">
      <c r="A28" s="55">
        <f t="shared" si="1"/>
        <v>26</v>
      </c>
      <c r="B28" s="56" t="s">
        <v>863</v>
      </c>
      <c r="C28" s="57" t="s">
        <v>864</v>
      </c>
      <c r="D28" s="58" t="s">
        <v>76</v>
      </c>
      <c r="E28" s="16" t="s">
        <v>76</v>
      </c>
      <c r="F28" s="21" t="s">
        <v>785</v>
      </c>
      <c r="G28" s="16" t="s">
        <v>786</v>
      </c>
      <c r="H28" s="59" t="s">
        <v>99</v>
      </c>
      <c r="I28" s="60">
        <v>8</v>
      </c>
      <c r="J28" s="60">
        <v>0</v>
      </c>
      <c r="K28" s="60">
        <v>1</v>
      </c>
      <c r="L28" s="60">
        <v>0</v>
      </c>
      <c r="M28" s="60">
        <v>4500</v>
      </c>
      <c r="N28" s="59">
        <v>0</v>
      </c>
      <c r="O28" s="59" t="s">
        <v>321</v>
      </c>
      <c r="P28" s="59" t="s">
        <v>119</v>
      </c>
      <c r="Q28" s="59" t="s">
        <v>82</v>
      </c>
      <c r="R28" s="59" t="s">
        <v>80</v>
      </c>
      <c r="S28" s="29" t="s">
        <v>83</v>
      </c>
      <c r="T28" s="30" t="s">
        <v>84</v>
      </c>
      <c r="U28" s="65" t="s">
        <v>865</v>
      </c>
    </row>
    <row r="29" spans="1:21" ht="70">
      <c r="A29" s="55">
        <f t="shared" si="1"/>
        <v>27</v>
      </c>
      <c r="B29" s="56" t="s">
        <v>866</v>
      </c>
      <c r="C29" s="57" t="s">
        <v>867</v>
      </c>
      <c r="D29" s="58" t="s">
        <v>76</v>
      </c>
      <c r="E29" s="16" t="s">
        <v>76</v>
      </c>
      <c r="F29" s="21" t="s">
        <v>785</v>
      </c>
      <c r="G29" s="16" t="s">
        <v>786</v>
      </c>
      <c r="H29" s="59" t="s">
        <v>99</v>
      </c>
      <c r="I29" s="60">
        <v>8</v>
      </c>
      <c r="J29" s="60">
        <v>0</v>
      </c>
      <c r="K29" s="60">
        <v>1</v>
      </c>
      <c r="L29" s="60">
        <v>0</v>
      </c>
      <c r="M29" s="60">
        <v>4500</v>
      </c>
      <c r="N29" s="59">
        <v>0</v>
      </c>
      <c r="O29" s="59" t="s">
        <v>321</v>
      </c>
      <c r="P29" s="59" t="s">
        <v>119</v>
      </c>
      <c r="Q29" s="59" t="s">
        <v>82</v>
      </c>
      <c r="R29" s="59" t="s">
        <v>80</v>
      </c>
      <c r="S29" s="29" t="s">
        <v>83</v>
      </c>
      <c r="T29" s="30" t="s">
        <v>84</v>
      </c>
      <c r="U29" s="65" t="s">
        <v>868</v>
      </c>
    </row>
    <row r="30" spans="1:21" ht="70">
      <c r="A30" s="55">
        <f t="shared" si="1"/>
        <v>28</v>
      </c>
      <c r="B30" s="56" t="s">
        <v>869</v>
      </c>
      <c r="C30" s="57" t="s">
        <v>870</v>
      </c>
      <c r="D30" s="58" t="s">
        <v>76</v>
      </c>
      <c r="E30" s="16" t="s">
        <v>76</v>
      </c>
      <c r="F30" s="21" t="s">
        <v>785</v>
      </c>
      <c r="G30" s="16" t="s">
        <v>786</v>
      </c>
      <c r="H30" s="59" t="s">
        <v>99</v>
      </c>
      <c r="I30" s="60">
        <v>8</v>
      </c>
      <c r="J30" s="60">
        <v>0</v>
      </c>
      <c r="K30" s="60">
        <v>1</v>
      </c>
      <c r="L30" s="60">
        <v>0</v>
      </c>
      <c r="M30" s="60">
        <v>4500</v>
      </c>
      <c r="N30" s="59">
        <v>0</v>
      </c>
      <c r="O30" s="59" t="s">
        <v>321</v>
      </c>
      <c r="P30" s="59" t="s">
        <v>119</v>
      </c>
      <c r="Q30" s="59" t="s">
        <v>82</v>
      </c>
      <c r="R30" s="59" t="s">
        <v>80</v>
      </c>
      <c r="S30" s="29" t="s">
        <v>83</v>
      </c>
      <c r="T30" s="30" t="s">
        <v>84</v>
      </c>
      <c r="U30" s="65" t="s">
        <v>871</v>
      </c>
    </row>
    <row r="31" spans="1:21" ht="70">
      <c r="A31" s="55">
        <f t="shared" si="1"/>
        <v>29</v>
      </c>
      <c r="B31" s="56" t="s">
        <v>872</v>
      </c>
      <c r="C31" s="57" t="s">
        <v>873</v>
      </c>
      <c r="D31" s="58" t="s">
        <v>76</v>
      </c>
      <c r="E31" s="16" t="s">
        <v>76</v>
      </c>
      <c r="F31" s="21" t="s">
        <v>785</v>
      </c>
      <c r="G31" s="16" t="s">
        <v>786</v>
      </c>
      <c r="H31" s="59" t="s">
        <v>99</v>
      </c>
      <c r="I31" s="60">
        <v>8</v>
      </c>
      <c r="J31" s="60">
        <v>0</v>
      </c>
      <c r="K31" s="60">
        <v>1</v>
      </c>
      <c r="L31" s="60">
        <v>0</v>
      </c>
      <c r="M31" s="60">
        <v>4500</v>
      </c>
      <c r="N31" s="59">
        <v>0</v>
      </c>
      <c r="O31" s="59" t="s">
        <v>321</v>
      </c>
      <c r="P31" s="59" t="s">
        <v>119</v>
      </c>
      <c r="Q31" s="59" t="s">
        <v>82</v>
      </c>
      <c r="R31" s="59" t="s">
        <v>80</v>
      </c>
      <c r="S31" s="29" t="s">
        <v>83</v>
      </c>
      <c r="T31" s="30" t="s">
        <v>84</v>
      </c>
      <c r="U31" s="65" t="s">
        <v>874</v>
      </c>
    </row>
    <row r="32" spans="1:21" ht="36" customHeight="1">
      <c r="A32" s="55">
        <f t="shared" si="1"/>
        <v>30</v>
      </c>
      <c r="B32" s="56" t="s">
        <v>875</v>
      </c>
      <c r="C32" s="57" t="s">
        <v>876</v>
      </c>
      <c r="D32" s="58" t="s">
        <v>76</v>
      </c>
      <c r="E32" s="16" t="s">
        <v>76</v>
      </c>
      <c r="F32" s="21" t="s">
        <v>785</v>
      </c>
      <c r="G32" s="16" t="s">
        <v>786</v>
      </c>
      <c r="H32" s="59" t="s">
        <v>210</v>
      </c>
      <c r="I32" s="60">
        <v>2</v>
      </c>
      <c r="J32" s="60">
        <v>0</v>
      </c>
      <c r="K32" s="60">
        <v>1</v>
      </c>
      <c r="L32" s="60">
        <v>0</v>
      </c>
      <c r="M32" s="60">
        <v>4500</v>
      </c>
      <c r="N32" s="59">
        <v>0</v>
      </c>
      <c r="O32" s="59" t="s">
        <v>321</v>
      </c>
      <c r="P32" s="59" t="s">
        <v>119</v>
      </c>
      <c r="Q32" s="59" t="s">
        <v>82</v>
      </c>
      <c r="R32" s="59" t="s">
        <v>80</v>
      </c>
      <c r="S32" s="29" t="s">
        <v>83</v>
      </c>
      <c r="T32" s="30" t="s">
        <v>84</v>
      </c>
      <c r="U32" s="65" t="s">
        <v>877</v>
      </c>
    </row>
    <row r="33" spans="1:21" ht="36" customHeight="1">
      <c r="A33" s="55">
        <f t="shared" si="1"/>
        <v>31</v>
      </c>
      <c r="B33" s="56" t="s">
        <v>878</v>
      </c>
      <c r="C33" s="57" t="s">
        <v>879</v>
      </c>
      <c r="D33" s="58" t="s">
        <v>76</v>
      </c>
      <c r="E33" s="16" t="s">
        <v>76</v>
      </c>
      <c r="F33" s="21" t="s">
        <v>785</v>
      </c>
      <c r="G33" s="16" t="s">
        <v>786</v>
      </c>
      <c r="H33" s="59" t="s">
        <v>210</v>
      </c>
      <c r="I33" s="60">
        <v>2</v>
      </c>
      <c r="J33" s="60">
        <v>0</v>
      </c>
      <c r="K33" s="60">
        <v>1</v>
      </c>
      <c r="L33" s="60">
        <v>0</v>
      </c>
      <c r="M33" s="60">
        <v>4500</v>
      </c>
      <c r="N33" s="59">
        <v>0</v>
      </c>
      <c r="O33" s="59" t="s">
        <v>321</v>
      </c>
      <c r="P33" s="59" t="s">
        <v>119</v>
      </c>
      <c r="Q33" s="59" t="s">
        <v>82</v>
      </c>
      <c r="R33" s="59" t="s">
        <v>80</v>
      </c>
      <c r="S33" s="29" t="s">
        <v>83</v>
      </c>
      <c r="T33" s="30" t="s">
        <v>84</v>
      </c>
      <c r="U33" s="65" t="s">
        <v>880</v>
      </c>
    </row>
    <row r="34" spans="1:21" ht="36" customHeight="1">
      <c r="A34" s="55">
        <f t="shared" si="1"/>
        <v>32</v>
      </c>
      <c r="B34" s="56" t="s">
        <v>881</v>
      </c>
      <c r="C34" s="66" t="s">
        <v>882</v>
      </c>
      <c r="D34" s="58" t="s">
        <v>76</v>
      </c>
      <c r="E34" s="16" t="s">
        <v>76</v>
      </c>
      <c r="F34" s="21" t="s">
        <v>785</v>
      </c>
      <c r="G34" s="16" t="s">
        <v>786</v>
      </c>
      <c r="H34" s="59" t="s">
        <v>210</v>
      </c>
      <c r="I34" s="60">
        <v>2</v>
      </c>
      <c r="J34" s="60">
        <v>0</v>
      </c>
      <c r="K34" s="60">
        <v>1</v>
      </c>
      <c r="L34" s="60">
        <v>0</v>
      </c>
      <c r="M34" s="60">
        <v>4500</v>
      </c>
      <c r="N34" s="59">
        <v>0</v>
      </c>
      <c r="O34" s="59" t="s">
        <v>321</v>
      </c>
      <c r="P34" s="59" t="s">
        <v>119</v>
      </c>
      <c r="Q34" s="59" t="s">
        <v>82</v>
      </c>
      <c r="R34" s="59" t="s">
        <v>80</v>
      </c>
      <c r="S34" s="29" t="s">
        <v>83</v>
      </c>
      <c r="T34" s="30" t="s">
        <v>84</v>
      </c>
      <c r="U34" s="65" t="s">
        <v>883</v>
      </c>
    </row>
    <row r="35" spans="1:21" ht="36" customHeight="1">
      <c r="A35" s="55">
        <f t="shared" ref="A35:A43" si="2">ROW()-2</f>
        <v>33</v>
      </c>
      <c r="B35" s="56" t="s">
        <v>884</v>
      </c>
      <c r="C35" s="57" t="s">
        <v>885</v>
      </c>
      <c r="D35" s="58" t="s">
        <v>76</v>
      </c>
      <c r="E35" s="16" t="s">
        <v>76</v>
      </c>
      <c r="F35" s="21" t="s">
        <v>785</v>
      </c>
      <c r="G35" s="16" t="s">
        <v>786</v>
      </c>
      <c r="H35" s="59" t="s">
        <v>210</v>
      </c>
      <c r="I35" s="60">
        <v>2</v>
      </c>
      <c r="J35" s="60">
        <v>-40</v>
      </c>
      <c r="K35" s="60">
        <v>0.1</v>
      </c>
      <c r="L35" s="60">
        <v>0</v>
      </c>
      <c r="M35" s="60">
        <v>1000</v>
      </c>
      <c r="N35" s="60">
        <v>0</v>
      </c>
      <c r="O35" s="60" t="s">
        <v>695</v>
      </c>
      <c r="P35" s="59" t="s">
        <v>119</v>
      </c>
      <c r="Q35" s="59" t="s">
        <v>82</v>
      </c>
      <c r="R35" s="59" t="s">
        <v>80</v>
      </c>
      <c r="S35" s="29" t="s">
        <v>83</v>
      </c>
      <c r="T35" s="30" t="s">
        <v>84</v>
      </c>
      <c r="U35" s="65" t="s">
        <v>886</v>
      </c>
    </row>
    <row r="36" spans="1:21" ht="36" customHeight="1">
      <c r="A36" s="55">
        <f t="shared" si="2"/>
        <v>34</v>
      </c>
      <c r="B36" s="56" t="s">
        <v>887</v>
      </c>
      <c r="C36" s="57" t="s">
        <v>888</v>
      </c>
      <c r="D36" s="58" t="s">
        <v>76</v>
      </c>
      <c r="E36" s="16" t="s">
        <v>76</v>
      </c>
      <c r="F36" s="21" t="s">
        <v>785</v>
      </c>
      <c r="G36" s="16" t="s">
        <v>786</v>
      </c>
      <c r="H36" s="59" t="s">
        <v>210</v>
      </c>
      <c r="I36" s="60">
        <v>2</v>
      </c>
      <c r="J36" s="60">
        <v>-40</v>
      </c>
      <c r="K36" s="60">
        <v>0.1</v>
      </c>
      <c r="L36" s="60">
        <v>0</v>
      </c>
      <c r="M36" s="60">
        <v>1000</v>
      </c>
      <c r="N36" s="60">
        <v>0</v>
      </c>
      <c r="O36" s="60" t="s">
        <v>695</v>
      </c>
      <c r="P36" s="59" t="s">
        <v>119</v>
      </c>
      <c r="Q36" s="59" t="s">
        <v>82</v>
      </c>
      <c r="R36" s="59" t="s">
        <v>80</v>
      </c>
      <c r="S36" s="29" t="s">
        <v>83</v>
      </c>
      <c r="T36" s="30" t="s">
        <v>84</v>
      </c>
      <c r="U36" s="65" t="s">
        <v>889</v>
      </c>
    </row>
    <row r="37" spans="1:21" ht="36" customHeight="1">
      <c r="A37" s="55">
        <f t="shared" si="2"/>
        <v>35</v>
      </c>
      <c r="B37" s="56" t="s">
        <v>890</v>
      </c>
      <c r="C37" s="57" t="s">
        <v>891</v>
      </c>
      <c r="D37" s="58" t="s">
        <v>76</v>
      </c>
      <c r="E37" s="16" t="s">
        <v>76</v>
      </c>
      <c r="F37" s="21" t="s">
        <v>785</v>
      </c>
      <c r="G37" s="16" t="s">
        <v>786</v>
      </c>
      <c r="H37" s="59" t="s">
        <v>210</v>
      </c>
      <c r="I37" s="60">
        <v>2</v>
      </c>
      <c r="J37" s="60">
        <v>-40</v>
      </c>
      <c r="K37" s="60">
        <v>0.1</v>
      </c>
      <c r="L37" s="60">
        <v>0</v>
      </c>
      <c r="M37" s="60">
        <v>1000</v>
      </c>
      <c r="N37" s="60">
        <v>0</v>
      </c>
      <c r="O37" s="60" t="s">
        <v>695</v>
      </c>
      <c r="P37" s="59" t="s">
        <v>119</v>
      </c>
      <c r="Q37" s="59" t="s">
        <v>82</v>
      </c>
      <c r="R37" s="59" t="s">
        <v>80</v>
      </c>
      <c r="S37" s="29" t="s">
        <v>83</v>
      </c>
      <c r="T37" s="30" t="s">
        <v>84</v>
      </c>
      <c r="U37" s="65" t="s">
        <v>892</v>
      </c>
    </row>
    <row r="38" spans="1:21" ht="36" customHeight="1">
      <c r="A38" s="55">
        <f t="shared" si="2"/>
        <v>36</v>
      </c>
      <c r="B38" s="56" t="s">
        <v>893</v>
      </c>
      <c r="C38" s="57" t="s">
        <v>894</v>
      </c>
      <c r="D38" s="58" t="s">
        <v>76</v>
      </c>
      <c r="E38" s="16" t="s">
        <v>76</v>
      </c>
      <c r="F38" s="21" t="s">
        <v>785</v>
      </c>
      <c r="G38" s="16" t="s">
        <v>786</v>
      </c>
      <c r="H38" s="59" t="s">
        <v>79</v>
      </c>
      <c r="I38" s="60">
        <v>1</v>
      </c>
      <c r="J38" s="60">
        <v>0</v>
      </c>
      <c r="K38" s="60">
        <v>1</v>
      </c>
      <c r="L38" s="60">
        <v>0</v>
      </c>
      <c r="M38" s="60">
        <v>16</v>
      </c>
      <c r="N38" s="59">
        <v>13</v>
      </c>
      <c r="O38" s="59" t="s">
        <v>80</v>
      </c>
      <c r="P38" s="59" t="s">
        <v>119</v>
      </c>
      <c r="Q38" s="59" t="s">
        <v>82</v>
      </c>
      <c r="R38" s="59" t="s">
        <v>80</v>
      </c>
      <c r="S38" s="29" t="s">
        <v>135</v>
      </c>
      <c r="T38" s="30" t="s">
        <v>84</v>
      </c>
      <c r="U38" s="65" t="s">
        <v>895</v>
      </c>
    </row>
    <row r="39" spans="1:21" ht="36" customHeight="1">
      <c r="A39" s="55">
        <f t="shared" si="2"/>
        <v>37</v>
      </c>
      <c r="B39" s="56" t="s">
        <v>896</v>
      </c>
      <c r="C39" s="57" t="s">
        <v>897</v>
      </c>
      <c r="D39" s="58" t="s">
        <v>76</v>
      </c>
      <c r="E39" s="16" t="s">
        <v>76</v>
      </c>
      <c r="F39" s="21" t="s">
        <v>785</v>
      </c>
      <c r="G39" s="16" t="s">
        <v>786</v>
      </c>
      <c r="H39" s="59" t="s">
        <v>79</v>
      </c>
      <c r="I39" s="60">
        <v>1</v>
      </c>
      <c r="J39" s="60">
        <v>0</v>
      </c>
      <c r="K39" s="60">
        <v>1</v>
      </c>
      <c r="L39" s="60">
        <v>0</v>
      </c>
      <c r="M39" s="60">
        <v>10</v>
      </c>
      <c r="N39" s="59">
        <v>2</v>
      </c>
      <c r="O39" s="59" t="s">
        <v>80</v>
      </c>
      <c r="P39" s="59" t="s">
        <v>119</v>
      </c>
      <c r="Q39" s="59" t="s">
        <v>82</v>
      </c>
      <c r="R39" s="59" t="s">
        <v>80</v>
      </c>
      <c r="S39" s="29" t="s">
        <v>135</v>
      </c>
      <c r="T39" s="30" t="s">
        <v>84</v>
      </c>
      <c r="U39" s="65" t="s">
        <v>898</v>
      </c>
    </row>
    <row r="40" spans="1:21" ht="112">
      <c r="A40" s="55">
        <f t="shared" si="2"/>
        <v>38</v>
      </c>
      <c r="B40" s="56" t="s">
        <v>899</v>
      </c>
      <c r="C40" s="57" t="s">
        <v>900</v>
      </c>
      <c r="D40" s="58" t="s">
        <v>76</v>
      </c>
      <c r="E40" s="16" t="s">
        <v>76</v>
      </c>
      <c r="F40" s="21" t="s">
        <v>785</v>
      </c>
      <c r="G40" s="16" t="s">
        <v>786</v>
      </c>
      <c r="H40" s="59" t="s">
        <v>99</v>
      </c>
      <c r="I40" s="59">
        <v>8</v>
      </c>
      <c r="J40" s="60">
        <v>0</v>
      </c>
      <c r="K40" s="60">
        <v>1</v>
      </c>
      <c r="L40" s="60" t="s">
        <v>80</v>
      </c>
      <c r="M40" s="60" t="s">
        <v>80</v>
      </c>
      <c r="N40" s="60">
        <v>0</v>
      </c>
      <c r="O40" s="60" t="s">
        <v>80</v>
      </c>
      <c r="P40" s="59" t="s">
        <v>119</v>
      </c>
      <c r="Q40" s="59" t="s">
        <v>82</v>
      </c>
      <c r="R40" s="59" t="s">
        <v>80</v>
      </c>
      <c r="S40" s="29" t="s">
        <v>83</v>
      </c>
      <c r="T40" s="30" t="s">
        <v>84</v>
      </c>
      <c r="U40" s="65" t="s">
        <v>756</v>
      </c>
    </row>
    <row r="41" spans="1:21" ht="36" customHeight="1">
      <c r="A41" s="55">
        <f t="shared" si="2"/>
        <v>39</v>
      </c>
      <c r="B41" s="56" t="s">
        <v>901</v>
      </c>
      <c r="C41" s="57" t="s">
        <v>902</v>
      </c>
      <c r="D41" s="58" t="s">
        <v>76</v>
      </c>
      <c r="E41" s="16" t="s">
        <v>76</v>
      </c>
      <c r="F41" s="21" t="s">
        <v>785</v>
      </c>
      <c r="G41" s="16" t="s">
        <v>786</v>
      </c>
      <c r="H41" s="59" t="s">
        <v>140</v>
      </c>
      <c r="I41" s="60">
        <v>16</v>
      </c>
      <c r="J41" s="60">
        <v>0</v>
      </c>
      <c r="K41" s="60">
        <v>1</v>
      </c>
      <c r="L41" s="60" t="s">
        <v>80</v>
      </c>
      <c r="M41" s="60" t="s">
        <v>80</v>
      </c>
      <c r="N41" s="60">
        <v>0</v>
      </c>
      <c r="O41" s="60" t="s">
        <v>80</v>
      </c>
      <c r="P41" s="59" t="s">
        <v>119</v>
      </c>
      <c r="Q41" s="59" t="s">
        <v>82</v>
      </c>
      <c r="R41" s="59" t="s">
        <v>80</v>
      </c>
      <c r="S41" s="29" t="s">
        <v>135</v>
      </c>
      <c r="T41" s="30" t="s">
        <v>84</v>
      </c>
      <c r="U41" s="65" t="s">
        <v>903</v>
      </c>
    </row>
    <row r="42" spans="1:21" ht="36" customHeight="1">
      <c r="A42" s="55">
        <f t="shared" si="2"/>
        <v>40</v>
      </c>
      <c r="B42" s="56" t="s">
        <v>904</v>
      </c>
      <c r="C42" s="57" t="s">
        <v>905</v>
      </c>
      <c r="D42" s="58" t="s">
        <v>76</v>
      </c>
      <c r="E42" s="16" t="s">
        <v>76</v>
      </c>
      <c r="F42" s="21" t="s">
        <v>785</v>
      </c>
      <c r="G42" s="16" t="s">
        <v>786</v>
      </c>
      <c r="H42" s="59" t="s">
        <v>140</v>
      </c>
      <c r="I42" s="60">
        <v>16</v>
      </c>
      <c r="J42" s="60">
        <v>0</v>
      </c>
      <c r="K42" s="60">
        <v>1</v>
      </c>
      <c r="L42" s="60" t="s">
        <v>80</v>
      </c>
      <c r="M42" s="60" t="s">
        <v>80</v>
      </c>
      <c r="N42" s="60">
        <v>0</v>
      </c>
      <c r="O42" s="60" t="s">
        <v>80</v>
      </c>
      <c r="P42" s="59" t="s">
        <v>119</v>
      </c>
      <c r="Q42" s="59" t="s">
        <v>82</v>
      </c>
      <c r="R42" s="59" t="s">
        <v>80</v>
      </c>
      <c r="S42" s="29" t="s">
        <v>135</v>
      </c>
      <c r="T42" s="30" t="s">
        <v>84</v>
      </c>
      <c r="U42" s="65" t="s">
        <v>906</v>
      </c>
    </row>
    <row r="43" spans="1:21" ht="36" customHeight="1">
      <c r="A43" s="55">
        <f t="shared" si="2"/>
        <v>41</v>
      </c>
      <c r="B43" s="56" t="s">
        <v>907</v>
      </c>
      <c r="C43" s="57" t="s">
        <v>908</v>
      </c>
      <c r="D43" s="58" t="s">
        <v>76</v>
      </c>
      <c r="E43" s="16" t="s">
        <v>76</v>
      </c>
      <c r="F43" s="21" t="s">
        <v>785</v>
      </c>
      <c r="G43" s="16" t="s">
        <v>786</v>
      </c>
      <c r="H43" s="59" t="s">
        <v>99</v>
      </c>
      <c r="I43" s="60">
        <v>8</v>
      </c>
      <c r="J43" s="60">
        <v>0</v>
      </c>
      <c r="K43" s="60">
        <v>1</v>
      </c>
      <c r="L43" s="60" t="s">
        <v>80</v>
      </c>
      <c r="M43" s="60" t="s">
        <v>80</v>
      </c>
      <c r="N43" s="60">
        <v>0</v>
      </c>
      <c r="O43" s="60" t="s">
        <v>80</v>
      </c>
      <c r="P43" s="59" t="s">
        <v>119</v>
      </c>
      <c r="Q43" s="59" t="s">
        <v>82</v>
      </c>
      <c r="R43" s="59" t="s">
        <v>80</v>
      </c>
      <c r="S43" s="29" t="s">
        <v>135</v>
      </c>
      <c r="T43" s="30" t="s">
        <v>84</v>
      </c>
      <c r="U43" s="65" t="s">
        <v>909</v>
      </c>
    </row>
    <row r="45" spans="1:21">
      <c r="C45" s="67"/>
    </row>
    <row r="46" spans="1:21">
      <c r="C46" s="67"/>
    </row>
    <row r="47" spans="1:21">
      <c r="C47" s="67"/>
    </row>
    <row r="48" spans="1:21">
      <c r="C48" s="67"/>
    </row>
  </sheetData>
  <sheetProtection formatCells="0" insertHyperlinks="0" autoFilter="0"/>
  <autoFilter ref="A2:U43" xr:uid="{00000000-0009-0000-0000-000005000000}"/>
  <dataValidations count="2">
    <dataValidation type="list" errorStyle="information" allowBlank="1" showErrorMessage="1" errorTitle="错误提示" error="请输入下拉列表中的一个值" sqref="S3:S43" xr:uid="{00000000-0002-0000-0500-000000000000}">
      <formula1>"RAM, ROM, FLASH, EEPROM"</formula1>
    </dataValidation>
    <dataValidation type="list" errorStyle="information" allowBlank="1" showErrorMessage="1" errorTitle="错误提示" error="请输入下拉列表中的一个值" sqref="T3:T43" xr:uid="{00000000-0002-0000-0500-000001000000}">
      <formula1>"FixedInfo, ProductCfg, CustomerCfg, OperateData, RideData, NA"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XFC10"/>
  <sheetViews>
    <sheetView showGridLines="0" view="pageLayout" zoomScale="77" zoomScaleNormal="100" zoomScalePageLayoutView="77" workbookViewId="0">
      <selection activeCell="C6" sqref="C6"/>
    </sheetView>
  </sheetViews>
  <sheetFormatPr baseColWidth="10" defaultColWidth="14" defaultRowHeight="16"/>
  <cols>
    <col min="1" max="1" width="8" style="1" customWidth="1"/>
    <col min="2" max="2" width="15" style="1" customWidth="1"/>
    <col min="3" max="3" width="33" style="1" customWidth="1"/>
    <col min="4" max="11" width="13.19921875" style="1" customWidth="1"/>
    <col min="12" max="12" width="33" style="1" customWidth="1"/>
    <col min="13" max="16383" width="14" style="1"/>
  </cols>
  <sheetData>
    <row r="1" spans="1:12" ht="36" customHeight="1">
      <c r="A1" s="12"/>
      <c r="B1" s="12"/>
      <c r="C1" s="12"/>
      <c r="D1" s="12"/>
      <c r="E1" s="12"/>
      <c r="F1" s="12"/>
      <c r="G1" s="24" t="s">
        <v>910</v>
      </c>
      <c r="H1" s="12"/>
      <c r="I1" s="12"/>
      <c r="J1" s="12"/>
      <c r="K1" s="12"/>
      <c r="L1" s="12"/>
    </row>
    <row r="2" spans="1:12" ht="36" customHeight="1">
      <c r="A2" s="50" t="s">
        <v>52</v>
      </c>
      <c r="B2" s="50" t="s">
        <v>53</v>
      </c>
      <c r="C2" s="50" t="s">
        <v>54</v>
      </c>
      <c r="D2" s="50" t="s">
        <v>59</v>
      </c>
      <c r="E2" s="50" t="s">
        <v>60</v>
      </c>
      <c r="F2" s="50" t="s">
        <v>61</v>
      </c>
      <c r="G2" s="50" t="s">
        <v>62</v>
      </c>
      <c r="H2" s="50" t="s">
        <v>63</v>
      </c>
      <c r="I2" s="50" t="s">
        <v>64</v>
      </c>
      <c r="J2" s="50" t="s">
        <v>66</v>
      </c>
      <c r="K2" s="50" t="s">
        <v>67</v>
      </c>
      <c r="L2" s="50" t="s">
        <v>72</v>
      </c>
    </row>
    <row r="3" spans="1:12" ht="40.5" customHeight="1">
      <c r="A3" s="29">
        <f t="shared" ref="A3:A10" si="0">ROW()-2</f>
        <v>1</v>
      </c>
      <c r="B3" s="29"/>
      <c r="C3" s="47" t="s">
        <v>911</v>
      </c>
      <c r="D3" s="29"/>
      <c r="E3" s="29"/>
      <c r="F3" s="29"/>
      <c r="G3" s="29"/>
      <c r="H3" s="29"/>
      <c r="I3" s="29"/>
      <c r="J3" s="29"/>
      <c r="K3" s="29"/>
      <c r="L3" s="52"/>
    </row>
    <row r="4" spans="1:12" ht="40.5" customHeight="1">
      <c r="A4" s="29">
        <f t="shared" si="0"/>
        <v>2</v>
      </c>
      <c r="B4" s="29"/>
      <c r="C4" s="47" t="s">
        <v>912</v>
      </c>
      <c r="D4" s="29"/>
      <c r="E4" s="29"/>
      <c r="F4" s="29"/>
      <c r="G4" s="29"/>
      <c r="H4" s="29"/>
      <c r="I4" s="29"/>
      <c r="J4" s="29"/>
      <c r="K4" s="29"/>
      <c r="L4" s="52"/>
    </row>
    <row r="5" spans="1:12" ht="40.5" customHeight="1">
      <c r="A5" s="29">
        <f t="shared" si="0"/>
        <v>3</v>
      </c>
      <c r="B5" s="29"/>
      <c r="C5" s="47" t="s">
        <v>913</v>
      </c>
      <c r="D5" s="29"/>
      <c r="E5" s="29"/>
      <c r="F5" s="29"/>
      <c r="G5" s="29"/>
      <c r="H5" s="29"/>
      <c r="I5" s="29"/>
      <c r="J5" s="29"/>
      <c r="K5" s="29"/>
      <c r="L5" s="52"/>
    </row>
    <row r="6" spans="1:12" ht="40.5" customHeight="1">
      <c r="A6" s="29">
        <f t="shared" si="0"/>
        <v>4</v>
      </c>
      <c r="B6" s="29"/>
      <c r="C6" s="47"/>
      <c r="D6" s="29"/>
      <c r="E6" s="29"/>
      <c r="F6" s="29"/>
      <c r="G6" s="29"/>
      <c r="H6" s="29"/>
      <c r="I6" s="29"/>
      <c r="J6" s="29"/>
      <c r="K6" s="29"/>
      <c r="L6" s="52"/>
    </row>
    <row r="7" spans="1:12" ht="40.5" customHeight="1">
      <c r="A7" s="29">
        <f t="shared" si="0"/>
        <v>5</v>
      </c>
      <c r="B7" s="29"/>
      <c r="C7" s="47"/>
      <c r="D7" s="29"/>
      <c r="E7" s="29"/>
      <c r="F7" s="29"/>
      <c r="G7" s="29"/>
      <c r="H7" s="29"/>
      <c r="I7" s="29"/>
      <c r="J7" s="29"/>
      <c r="K7" s="29"/>
      <c r="L7" s="53"/>
    </row>
    <row r="8" spans="1:12" ht="40.5" customHeight="1">
      <c r="A8" s="29">
        <f t="shared" si="0"/>
        <v>6</v>
      </c>
      <c r="B8" s="29"/>
      <c r="C8" s="47"/>
      <c r="D8" s="29"/>
      <c r="E8" s="29"/>
      <c r="F8" s="29"/>
      <c r="G8" s="29"/>
      <c r="H8" s="29"/>
      <c r="I8" s="29"/>
      <c r="J8" s="29"/>
      <c r="K8" s="29"/>
      <c r="L8" s="52"/>
    </row>
    <row r="9" spans="1:12" ht="40.5" customHeight="1">
      <c r="A9" s="29">
        <f t="shared" si="0"/>
        <v>7</v>
      </c>
      <c r="B9" s="29"/>
      <c r="C9" s="51"/>
      <c r="D9" s="29"/>
      <c r="E9" s="29"/>
      <c r="F9" s="29"/>
      <c r="G9" s="29"/>
      <c r="H9" s="29"/>
      <c r="I9" s="29"/>
      <c r="J9" s="29"/>
      <c r="K9" s="29"/>
      <c r="L9" s="52"/>
    </row>
    <row r="10" spans="1:12" ht="40.5" customHeight="1">
      <c r="A10" s="29">
        <f t="shared" si="0"/>
        <v>8</v>
      </c>
      <c r="B10" s="29"/>
      <c r="C10" s="51"/>
      <c r="D10" s="29"/>
      <c r="E10" s="29"/>
      <c r="F10" s="29"/>
      <c r="G10" s="29"/>
      <c r="H10" s="29"/>
      <c r="I10" s="29"/>
      <c r="J10" s="29"/>
      <c r="K10" s="29"/>
      <c r="L10" s="52"/>
    </row>
  </sheetData>
  <sheetProtection formatCells="0" insertHyperlinks="0" autoFilter="0"/>
  <pageMargins left="0.7" right="0.7" top="0.75" bottom="0.75" header="0.3" footer="0.3"/>
  <pageSetup paperSize="9" scale="76" fitToHeight="0" orientation="landscape"/>
  <headerFooter>
    <oddHeader>&amp;R&amp;G</oddHeader>
  </headerFooter>
  <legacyDrawingHF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U7"/>
  <sheetViews>
    <sheetView showGridLines="0" tabSelected="1" zoomScale="110" zoomScaleNormal="110" workbookViewId="0">
      <pane ySplit="2" topLeftCell="A3" activePane="bottomLeft" state="frozen"/>
      <selection pane="bottomLeft" activeCell="A3" sqref="A3"/>
    </sheetView>
  </sheetViews>
  <sheetFormatPr baseColWidth="10" defaultColWidth="14" defaultRowHeight="16"/>
  <cols>
    <col min="1" max="1" width="8" style="1" customWidth="1"/>
    <col min="2" max="2" width="16" style="1" customWidth="1"/>
    <col min="3" max="3" width="38" style="1" customWidth="1"/>
    <col min="4" max="4" width="21" style="1" customWidth="1"/>
    <col min="5" max="18" width="15.59765625" style="1" customWidth="1"/>
    <col min="19" max="19" width="14.59765625" style="1" customWidth="1"/>
    <col min="20" max="20" width="14.59765625" style="11" customWidth="1"/>
    <col min="21" max="21" width="33" style="1" customWidth="1"/>
    <col min="22" max="16384" width="14" style="1"/>
  </cols>
  <sheetData>
    <row r="1" spans="1:21" ht="36" customHeight="1">
      <c r="A1" s="12"/>
      <c r="B1" s="12"/>
      <c r="C1" s="12"/>
      <c r="D1" s="12"/>
      <c r="E1" s="12"/>
      <c r="F1" s="12"/>
      <c r="G1" s="12"/>
      <c r="H1" s="12"/>
      <c r="I1" s="12"/>
      <c r="J1" s="12"/>
      <c r="K1" s="24" t="s">
        <v>914</v>
      </c>
      <c r="L1" s="12"/>
      <c r="M1" s="12"/>
      <c r="N1" s="12"/>
      <c r="O1" s="12"/>
      <c r="P1" s="12"/>
      <c r="Q1" s="12"/>
      <c r="R1" s="12"/>
      <c r="S1" s="12"/>
      <c r="T1" s="12"/>
      <c r="U1" s="12"/>
    </row>
    <row r="2" spans="1:21" ht="36" customHeight="1">
      <c r="A2" s="45" t="s">
        <v>52</v>
      </c>
      <c r="B2" s="45" t="s">
        <v>53</v>
      </c>
      <c r="C2" s="45" t="s">
        <v>54</v>
      </c>
      <c r="D2" s="20" t="s">
        <v>55</v>
      </c>
      <c r="E2" s="20" t="s">
        <v>56</v>
      </c>
      <c r="F2" s="20" t="s">
        <v>57</v>
      </c>
      <c r="G2" s="20" t="s">
        <v>58</v>
      </c>
      <c r="H2" s="45" t="s">
        <v>59</v>
      </c>
      <c r="I2" s="45" t="s">
        <v>60</v>
      </c>
      <c r="J2" s="45" t="s">
        <v>61</v>
      </c>
      <c r="K2" s="45" t="s">
        <v>62</v>
      </c>
      <c r="L2" s="45" t="s">
        <v>63</v>
      </c>
      <c r="M2" s="45" t="s">
        <v>64</v>
      </c>
      <c r="N2" s="13" t="s">
        <v>65</v>
      </c>
      <c r="O2" s="45" t="s">
        <v>66</v>
      </c>
      <c r="P2" s="45" t="s">
        <v>67</v>
      </c>
      <c r="Q2" s="13" t="s">
        <v>68</v>
      </c>
      <c r="R2" s="13" t="s">
        <v>69</v>
      </c>
      <c r="S2" s="27" t="s">
        <v>70</v>
      </c>
      <c r="T2" s="28" t="s">
        <v>71</v>
      </c>
      <c r="U2" s="45" t="s">
        <v>72</v>
      </c>
    </row>
    <row r="3" spans="1:21" ht="68">
      <c r="A3" s="46">
        <v>1</v>
      </c>
      <c r="B3" s="46" t="s">
        <v>915</v>
      </c>
      <c r="C3" s="47" t="s">
        <v>916</v>
      </c>
      <c r="D3" s="16" t="s">
        <v>76</v>
      </c>
      <c r="E3" s="16">
        <v>0</v>
      </c>
      <c r="F3" s="21" t="s">
        <v>558</v>
      </c>
      <c r="G3" s="22" t="s">
        <v>917</v>
      </c>
      <c r="H3" s="23" t="s">
        <v>79</v>
      </c>
      <c r="I3" s="46">
        <v>1</v>
      </c>
      <c r="J3" s="46">
        <v>0</v>
      </c>
      <c r="K3" s="46">
        <v>1</v>
      </c>
      <c r="L3" s="46">
        <v>0</v>
      </c>
      <c r="M3" s="46">
        <v>1</v>
      </c>
      <c r="N3" s="46">
        <v>0</v>
      </c>
      <c r="O3" s="46" t="s">
        <v>80</v>
      </c>
      <c r="P3" s="23" t="s">
        <v>81</v>
      </c>
      <c r="Q3" s="23" t="s">
        <v>82</v>
      </c>
      <c r="R3" s="23" t="s">
        <v>82</v>
      </c>
      <c r="S3" s="29"/>
      <c r="T3" s="30"/>
      <c r="U3" s="49" t="s">
        <v>918</v>
      </c>
    </row>
    <row r="4" spans="1:21" ht="102">
      <c r="A4" s="46">
        <v>2</v>
      </c>
      <c r="B4" s="46" t="s">
        <v>919</v>
      </c>
      <c r="C4" s="48" t="s">
        <v>920</v>
      </c>
      <c r="D4" s="16" t="s">
        <v>76</v>
      </c>
      <c r="E4" s="16">
        <v>0</v>
      </c>
      <c r="F4" s="21" t="s">
        <v>558</v>
      </c>
      <c r="G4" s="22" t="s">
        <v>917</v>
      </c>
      <c r="H4" s="23" t="s">
        <v>79</v>
      </c>
      <c r="I4" s="46">
        <v>1</v>
      </c>
      <c r="J4" s="46">
        <v>0</v>
      </c>
      <c r="K4" s="46">
        <v>1</v>
      </c>
      <c r="L4" s="46">
        <v>0</v>
      </c>
      <c r="M4" s="46">
        <v>3</v>
      </c>
      <c r="N4" s="46">
        <v>1</v>
      </c>
      <c r="O4" s="46" t="s">
        <v>80</v>
      </c>
      <c r="P4" s="23" t="s">
        <v>81</v>
      </c>
      <c r="Q4" s="23" t="s">
        <v>82</v>
      </c>
      <c r="R4" s="23" t="s">
        <v>82</v>
      </c>
      <c r="S4" s="29"/>
      <c r="T4" s="30"/>
      <c r="U4" s="48" t="s">
        <v>921</v>
      </c>
    </row>
    <row r="5" spans="1:21" ht="68">
      <c r="A5" s="46">
        <v>3</v>
      </c>
      <c r="B5" s="46" t="s">
        <v>922</v>
      </c>
      <c r="C5" s="48" t="s">
        <v>923</v>
      </c>
      <c r="D5" s="16" t="s">
        <v>76</v>
      </c>
      <c r="E5" s="16">
        <v>0</v>
      </c>
      <c r="F5" s="21" t="s">
        <v>558</v>
      </c>
      <c r="G5" s="22" t="s">
        <v>917</v>
      </c>
      <c r="H5" s="23" t="s">
        <v>79</v>
      </c>
      <c r="I5" s="46">
        <v>1</v>
      </c>
      <c r="J5" s="46">
        <v>0</v>
      </c>
      <c r="K5" s="46">
        <v>1</v>
      </c>
      <c r="L5" s="46">
        <v>0</v>
      </c>
      <c r="M5" s="46">
        <v>1</v>
      </c>
      <c r="N5" s="46">
        <v>0</v>
      </c>
      <c r="O5" s="46" t="s">
        <v>80</v>
      </c>
      <c r="P5" s="23" t="s">
        <v>81</v>
      </c>
      <c r="Q5" s="23" t="s">
        <v>82</v>
      </c>
      <c r="R5" s="23" t="s">
        <v>82</v>
      </c>
      <c r="S5" s="29"/>
      <c r="T5" s="30"/>
      <c r="U5" s="49" t="s">
        <v>924</v>
      </c>
    </row>
    <row r="6" spans="1:21" ht="36" customHeight="1">
      <c r="A6" s="46">
        <v>4</v>
      </c>
      <c r="B6" s="46" t="s">
        <v>925</v>
      </c>
      <c r="C6" s="47" t="s">
        <v>926</v>
      </c>
      <c r="D6" s="16" t="s">
        <v>76</v>
      </c>
      <c r="E6" s="16">
        <v>0</v>
      </c>
      <c r="F6" s="21" t="s">
        <v>558</v>
      </c>
      <c r="G6" s="22" t="s">
        <v>917</v>
      </c>
      <c r="H6" s="29" t="s">
        <v>210</v>
      </c>
      <c r="I6" s="46">
        <v>2</v>
      </c>
      <c r="J6" s="46">
        <v>0</v>
      </c>
      <c r="K6" s="46">
        <v>0.01</v>
      </c>
      <c r="L6" s="46">
        <v>0</v>
      </c>
      <c r="M6" s="46">
        <v>100</v>
      </c>
      <c r="N6" s="46">
        <v>0</v>
      </c>
      <c r="O6" s="46" t="s">
        <v>311</v>
      </c>
      <c r="P6" s="46" t="s">
        <v>119</v>
      </c>
      <c r="Q6" s="23" t="s">
        <v>82</v>
      </c>
      <c r="R6" s="23" t="s">
        <v>80</v>
      </c>
      <c r="S6" s="29"/>
      <c r="T6" s="30"/>
      <c r="U6" s="49" t="s">
        <v>927</v>
      </c>
    </row>
    <row r="7" spans="1:21" ht="51">
      <c r="A7" s="46">
        <v>5</v>
      </c>
      <c r="B7" s="23" t="s">
        <v>928</v>
      </c>
      <c r="C7" s="47" t="s">
        <v>929</v>
      </c>
      <c r="D7" s="16" t="s">
        <v>76</v>
      </c>
      <c r="E7" s="16">
        <v>0</v>
      </c>
      <c r="F7" s="21" t="s">
        <v>558</v>
      </c>
      <c r="G7" s="22" t="s">
        <v>917</v>
      </c>
      <c r="H7" s="23" t="s">
        <v>79</v>
      </c>
      <c r="I7" s="46">
        <v>1</v>
      </c>
      <c r="J7" s="46">
        <v>0</v>
      </c>
      <c r="K7" s="46">
        <v>1</v>
      </c>
      <c r="L7" s="46">
        <v>0</v>
      </c>
      <c r="M7" s="46">
        <v>2</v>
      </c>
      <c r="N7" s="46">
        <v>1</v>
      </c>
      <c r="O7" s="46" t="s">
        <v>80</v>
      </c>
      <c r="P7" s="23" t="s">
        <v>81</v>
      </c>
      <c r="Q7" s="23" t="s">
        <v>82</v>
      </c>
      <c r="R7" s="23" t="s">
        <v>82</v>
      </c>
      <c r="S7" s="29"/>
      <c r="T7" s="30"/>
      <c r="U7" s="35" t="s">
        <v>930</v>
      </c>
    </row>
  </sheetData>
  <sheetProtection formatCells="0" insertHyperlinks="0" autoFilter="0"/>
  <autoFilter ref="A2:U7" xr:uid="{00000000-0009-0000-0000-000007000000}"/>
  <dataValidations count="2">
    <dataValidation type="list" errorStyle="information" allowBlank="1" showErrorMessage="1" errorTitle="错误提示" error="请输入下拉列表中的一个值" sqref="S3:S7" xr:uid="{00000000-0002-0000-0700-000000000000}">
      <formula1>"RAM, ROM, FLASH, EEPROM"</formula1>
    </dataValidation>
    <dataValidation type="list" errorStyle="information" allowBlank="1" showErrorMessage="1" errorTitle="错误提示" error="请输入下拉列表中的一个值" sqref="T3:T7" xr:uid="{00000000-0002-0000-0700-000001000000}">
      <formula1>"FixedInfo, ProductCfg, CustomerCfg, OperateData, RideData, NA"</formula1>
    </dataValidation>
  </dataValidations>
  <pageMargins left="0.7" right="0.7" top="0.75" bottom="0.75" header="0.3" footer="0.3"/>
  <pageSetup paperSize="9" scale="38" fitToHeight="0" orientation="landscape"/>
  <headerFooter>
    <oddHeader>&amp;R&amp;G</oddHeader>
  </headerFooter>
  <legacyDrawingHF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U43"/>
  <sheetViews>
    <sheetView showGridLines="0" zoomScaleNormal="100" workbookViewId="0">
      <pane ySplit="2" topLeftCell="A3" activePane="bottomLeft" state="frozen"/>
      <selection pane="bottomLeft" activeCell="A18" sqref="A18:XFD18"/>
    </sheetView>
  </sheetViews>
  <sheetFormatPr baseColWidth="10" defaultColWidth="14" defaultRowHeight="16"/>
  <cols>
    <col min="1" max="1" width="9" style="1" customWidth="1"/>
    <col min="2" max="2" width="15" style="1" customWidth="1"/>
    <col min="3" max="4" width="31" style="1" customWidth="1"/>
    <col min="5" max="16" width="15.59765625" style="1" customWidth="1"/>
    <col min="17" max="18" width="22.19921875" style="1" customWidth="1"/>
    <col min="19" max="19" width="18.796875" style="1" customWidth="1"/>
    <col min="20" max="20" width="18.796875" style="11" customWidth="1"/>
    <col min="21" max="21" width="42.19921875" style="1" customWidth="1"/>
    <col min="22" max="16384" width="14" style="1"/>
  </cols>
  <sheetData>
    <row r="1" spans="1:21" s="9" customFormat="1" ht="36" customHeight="1">
      <c r="A1" s="12"/>
      <c r="B1" s="12"/>
      <c r="C1" s="12"/>
      <c r="D1" s="12"/>
      <c r="E1" s="12"/>
      <c r="F1" s="12"/>
      <c r="G1" s="12"/>
      <c r="H1" s="12"/>
      <c r="I1" s="12"/>
      <c r="J1" s="12"/>
      <c r="K1" s="24" t="s">
        <v>931</v>
      </c>
      <c r="L1" s="12"/>
      <c r="M1" s="12"/>
      <c r="N1" s="12"/>
      <c r="O1" s="12"/>
      <c r="P1" s="12"/>
      <c r="Q1" s="12"/>
      <c r="R1" s="12"/>
      <c r="S1" s="12"/>
      <c r="T1" s="12"/>
      <c r="U1" s="12"/>
    </row>
    <row r="2" spans="1:21" s="10" customFormat="1" ht="36" customHeight="1">
      <c r="A2" s="13" t="s">
        <v>52</v>
      </c>
      <c r="B2" s="13" t="s">
        <v>53</v>
      </c>
      <c r="C2" s="13" t="s">
        <v>54</v>
      </c>
      <c r="D2" s="13" t="s">
        <v>55</v>
      </c>
      <c r="E2" s="20" t="s">
        <v>56</v>
      </c>
      <c r="F2" s="20" t="s">
        <v>57</v>
      </c>
      <c r="G2" s="20" t="s">
        <v>58</v>
      </c>
      <c r="H2" s="13" t="s">
        <v>59</v>
      </c>
      <c r="I2" s="13" t="s">
        <v>60</v>
      </c>
      <c r="J2" s="13" t="s">
        <v>61</v>
      </c>
      <c r="K2" s="13" t="s">
        <v>62</v>
      </c>
      <c r="L2" s="13" t="s">
        <v>63</v>
      </c>
      <c r="M2" s="13" t="s">
        <v>64</v>
      </c>
      <c r="N2" s="13" t="s">
        <v>65</v>
      </c>
      <c r="O2" s="13" t="s">
        <v>66</v>
      </c>
      <c r="P2" s="13" t="s">
        <v>67</v>
      </c>
      <c r="Q2" s="13" t="s">
        <v>68</v>
      </c>
      <c r="R2" s="13" t="s">
        <v>69</v>
      </c>
      <c r="S2" s="27" t="s">
        <v>70</v>
      </c>
      <c r="T2" s="28" t="s">
        <v>71</v>
      </c>
      <c r="U2" s="13" t="s">
        <v>72</v>
      </c>
    </row>
    <row r="3" spans="1:21" s="10" customFormat="1" ht="36" customHeight="1">
      <c r="A3" s="14"/>
      <c r="B3" s="15"/>
      <c r="C3" s="15"/>
      <c r="D3" s="15"/>
      <c r="E3" s="15"/>
      <c r="F3" s="15"/>
      <c r="G3" s="15"/>
      <c r="H3" s="15"/>
      <c r="I3" s="15"/>
      <c r="J3" s="15"/>
      <c r="K3" s="15" t="s">
        <v>932</v>
      </c>
      <c r="L3" s="15"/>
      <c r="M3" s="15"/>
      <c r="N3" s="15"/>
      <c r="O3" s="15"/>
      <c r="P3" s="15"/>
      <c r="Q3" s="15"/>
      <c r="R3" s="15"/>
      <c r="S3" s="15"/>
      <c r="T3" s="15"/>
      <c r="U3" s="33"/>
    </row>
    <row r="4" spans="1:21" s="10" customFormat="1" ht="47.5" customHeight="1">
      <c r="A4" s="16">
        <f t="shared" ref="A4:A11" si="0">ROW()-3</f>
        <v>1</v>
      </c>
      <c r="B4" s="17" t="s">
        <v>933</v>
      </c>
      <c r="C4" s="18" t="s">
        <v>934</v>
      </c>
      <c r="D4" s="16" t="s">
        <v>76</v>
      </c>
      <c r="E4" s="16">
        <v>0</v>
      </c>
      <c r="F4" s="21" t="s">
        <v>558</v>
      </c>
      <c r="G4" s="22" t="s">
        <v>78</v>
      </c>
      <c r="H4" s="23" t="s">
        <v>99</v>
      </c>
      <c r="I4" s="16">
        <v>8</v>
      </c>
      <c r="J4" s="16">
        <v>0</v>
      </c>
      <c r="K4" s="16">
        <v>1</v>
      </c>
      <c r="L4" s="16">
        <v>0</v>
      </c>
      <c r="M4" s="25" t="s">
        <v>80</v>
      </c>
      <c r="N4" s="25">
        <v>0</v>
      </c>
      <c r="O4" s="25" t="s">
        <v>80</v>
      </c>
      <c r="P4" s="23" t="s">
        <v>81</v>
      </c>
      <c r="Q4" s="16" t="s">
        <v>82</v>
      </c>
      <c r="R4" s="16" t="s">
        <v>104</v>
      </c>
      <c r="S4" s="29" t="s">
        <v>83</v>
      </c>
      <c r="T4" s="30" t="s">
        <v>84</v>
      </c>
      <c r="U4" s="34" t="s">
        <v>935</v>
      </c>
    </row>
    <row r="5" spans="1:21" s="10" customFormat="1" ht="47.5" customHeight="1">
      <c r="A5" s="16">
        <f t="shared" si="0"/>
        <v>2</v>
      </c>
      <c r="B5" s="17" t="s">
        <v>936</v>
      </c>
      <c r="C5" s="19" t="s">
        <v>937</v>
      </c>
      <c r="D5" s="16" t="s">
        <v>76</v>
      </c>
      <c r="E5" s="16">
        <v>0</v>
      </c>
      <c r="F5" s="21" t="s">
        <v>558</v>
      </c>
      <c r="G5" s="22" t="s">
        <v>78</v>
      </c>
      <c r="H5" s="23" t="s">
        <v>99</v>
      </c>
      <c r="I5" s="23">
        <v>8</v>
      </c>
      <c r="J5" s="23">
        <v>0</v>
      </c>
      <c r="K5" s="23">
        <v>1</v>
      </c>
      <c r="L5" s="23">
        <v>0</v>
      </c>
      <c r="M5" s="26" t="s">
        <v>80</v>
      </c>
      <c r="N5" s="26">
        <v>0</v>
      </c>
      <c r="O5" s="26" t="s">
        <v>80</v>
      </c>
      <c r="P5" s="23" t="s">
        <v>119</v>
      </c>
      <c r="Q5" s="16" t="s">
        <v>82</v>
      </c>
      <c r="R5" s="16" t="s">
        <v>80</v>
      </c>
      <c r="S5" s="29" t="s">
        <v>83</v>
      </c>
      <c r="T5" s="30" t="s">
        <v>84</v>
      </c>
      <c r="U5" s="35" t="s">
        <v>938</v>
      </c>
    </row>
    <row r="6" spans="1:21" s="10" customFormat="1" ht="47.5" customHeight="1">
      <c r="A6" s="16">
        <f t="shared" si="0"/>
        <v>3</v>
      </c>
      <c r="B6" s="17" t="s">
        <v>939</v>
      </c>
      <c r="C6" s="19" t="s">
        <v>940</v>
      </c>
      <c r="D6" s="16" t="s">
        <v>76</v>
      </c>
      <c r="E6" s="16">
        <v>0</v>
      </c>
      <c r="F6" s="21" t="s">
        <v>558</v>
      </c>
      <c r="G6" s="22" t="s">
        <v>78</v>
      </c>
      <c r="H6" s="23" t="s">
        <v>99</v>
      </c>
      <c r="I6" s="23">
        <v>8</v>
      </c>
      <c r="J6" s="23">
        <v>0</v>
      </c>
      <c r="K6" s="23">
        <v>1</v>
      </c>
      <c r="L6" s="23">
        <v>0</v>
      </c>
      <c r="M6" s="26" t="s">
        <v>80</v>
      </c>
      <c r="N6" s="26">
        <v>0</v>
      </c>
      <c r="O6" s="26" t="s">
        <v>80</v>
      </c>
      <c r="P6" s="23" t="s">
        <v>81</v>
      </c>
      <c r="Q6" s="16" t="s">
        <v>82</v>
      </c>
      <c r="R6" s="16" t="s">
        <v>104</v>
      </c>
      <c r="S6" s="29" t="s">
        <v>83</v>
      </c>
      <c r="T6" s="30" t="s">
        <v>84</v>
      </c>
      <c r="U6" s="35" t="s">
        <v>941</v>
      </c>
    </row>
    <row r="7" spans="1:21" s="10" customFormat="1" ht="47.5" customHeight="1">
      <c r="A7" s="16">
        <f t="shared" si="0"/>
        <v>4</v>
      </c>
      <c r="B7" s="17" t="s">
        <v>942</v>
      </c>
      <c r="C7" s="19" t="s">
        <v>943</v>
      </c>
      <c r="D7" s="16" t="s">
        <v>76</v>
      </c>
      <c r="E7" s="16">
        <v>0</v>
      </c>
      <c r="F7" s="21" t="s">
        <v>558</v>
      </c>
      <c r="G7" s="22" t="s">
        <v>78</v>
      </c>
      <c r="H7" s="23" t="s">
        <v>99</v>
      </c>
      <c r="I7" s="23">
        <v>8</v>
      </c>
      <c r="J7" s="23">
        <v>0</v>
      </c>
      <c r="K7" s="23">
        <v>1</v>
      </c>
      <c r="L7" s="23">
        <v>0</v>
      </c>
      <c r="M7" s="26" t="s">
        <v>80</v>
      </c>
      <c r="N7" s="26">
        <v>0</v>
      </c>
      <c r="O7" s="26" t="s">
        <v>80</v>
      </c>
      <c r="P7" s="23" t="s">
        <v>119</v>
      </c>
      <c r="Q7" s="16" t="s">
        <v>82</v>
      </c>
      <c r="R7" s="16" t="s">
        <v>80</v>
      </c>
      <c r="S7" s="29" t="s">
        <v>83</v>
      </c>
      <c r="T7" s="30" t="s">
        <v>84</v>
      </c>
      <c r="U7" s="35" t="s">
        <v>944</v>
      </c>
    </row>
    <row r="8" spans="1:21" s="10" customFormat="1" ht="47.5" customHeight="1">
      <c r="A8" s="16">
        <f t="shared" si="0"/>
        <v>5</v>
      </c>
      <c r="B8" s="17" t="s">
        <v>945</v>
      </c>
      <c r="C8" s="19" t="s">
        <v>946</v>
      </c>
      <c r="D8" s="16" t="s">
        <v>76</v>
      </c>
      <c r="E8" s="16">
        <v>0</v>
      </c>
      <c r="F8" s="21" t="s">
        <v>558</v>
      </c>
      <c r="G8" s="22" t="s">
        <v>78</v>
      </c>
      <c r="H8" s="23" t="s">
        <v>99</v>
      </c>
      <c r="I8" s="23">
        <v>8</v>
      </c>
      <c r="J8" s="23">
        <v>0</v>
      </c>
      <c r="K8" s="23">
        <v>1</v>
      </c>
      <c r="L8" s="23">
        <v>0</v>
      </c>
      <c r="M8" s="26" t="s">
        <v>80</v>
      </c>
      <c r="N8" s="26">
        <v>0</v>
      </c>
      <c r="O8" s="26" t="s">
        <v>80</v>
      </c>
      <c r="P8" s="23" t="s">
        <v>119</v>
      </c>
      <c r="Q8" s="16" t="s">
        <v>82</v>
      </c>
      <c r="R8" s="16" t="s">
        <v>80</v>
      </c>
      <c r="S8" s="29" t="s">
        <v>83</v>
      </c>
      <c r="T8" s="30" t="s">
        <v>84</v>
      </c>
      <c r="U8" s="35" t="s">
        <v>947</v>
      </c>
    </row>
    <row r="9" spans="1:21" s="10" customFormat="1" ht="47.5" customHeight="1">
      <c r="A9" s="16">
        <f t="shared" si="0"/>
        <v>6</v>
      </c>
      <c r="B9" s="17" t="s">
        <v>948</v>
      </c>
      <c r="C9" s="19" t="s">
        <v>949</v>
      </c>
      <c r="D9" s="16" t="s">
        <v>76</v>
      </c>
      <c r="E9" s="16">
        <v>0</v>
      </c>
      <c r="F9" s="21" t="s">
        <v>558</v>
      </c>
      <c r="G9" s="22" t="s">
        <v>78</v>
      </c>
      <c r="H9" s="23" t="s">
        <v>99</v>
      </c>
      <c r="I9" s="23">
        <v>8</v>
      </c>
      <c r="J9" s="23">
        <v>0</v>
      </c>
      <c r="K9" s="23">
        <v>1</v>
      </c>
      <c r="L9" s="23">
        <v>0</v>
      </c>
      <c r="M9" s="26" t="s">
        <v>80</v>
      </c>
      <c r="N9" s="26">
        <v>0</v>
      </c>
      <c r="O9" s="26" t="s">
        <v>80</v>
      </c>
      <c r="P9" s="23" t="s">
        <v>119</v>
      </c>
      <c r="Q9" s="16" t="s">
        <v>82</v>
      </c>
      <c r="R9" s="16" t="s">
        <v>80</v>
      </c>
      <c r="S9" s="29" t="s">
        <v>83</v>
      </c>
      <c r="T9" s="30" t="s">
        <v>84</v>
      </c>
      <c r="U9" s="35" t="s">
        <v>950</v>
      </c>
    </row>
    <row r="10" spans="1:21" s="10" customFormat="1" ht="47.5" customHeight="1">
      <c r="A10" s="16">
        <f t="shared" si="0"/>
        <v>7</v>
      </c>
      <c r="B10" s="17" t="s">
        <v>951</v>
      </c>
      <c r="C10" s="19" t="s">
        <v>952</v>
      </c>
      <c r="D10" s="16" t="s">
        <v>76</v>
      </c>
      <c r="E10" s="16">
        <v>0</v>
      </c>
      <c r="F10" s="21" t="s">
        <v>558</v>
      </c>
      <c r="G10" s="22" t="s">
        <v>78</v>
      </c>
      <c r="H10" s="23" t="s">
        <v>99</v>
      </c>
      <c r="I10" s="23">
        <v>8</v>
      </c>
      <c r="J10" s="23">
        <v>0</v>
      </c>
      <c r="K10" s="23">
        <v>1</v>
      </c>
      <c r="L10" s="23">
        <v>0</v>
      </c>
      <c r="M10" s="26" t="s">
        <v>80</v>
      </c>
      <c r="N10" s="26">
        <v>0</v>
      </c>
      <c r="O10" s="26" t="s">
        <v>80</v>
      </c>
      <c r="P10" s="23" t="s">
        <v>81</v>
      </c>
      <c r="Q10" s="16" t="s">
        <v>104</v>
      </c>
      <c r="R10" s="16" t="s">
        <v>104</v>
      </c>
      <c r="S10" s="29" t="s">
        <v>83</v>
      </c>
      <c r="T10" s="30" t="s">
        <v>84</v>
      </c>
      <c r="U10" s="35" t="s">
        <v>953</v>
      </c>
    </row>
    <row r="11" spans="1:21" s="10" customFormat="1" ht="47.5" customHeight="1">
      <c r="A11" s="16">
        <f t="shared" si="0"/>
        <v>8</v>
      </c>
      <c r="B11" s="17" t="s">
        <v>954</v>
      </c>
      <c r="C11" s="19" t="s">
        <v>955</v>
      </c>
      <c r="D11" s="16" t="s">
        <v>76</v>
      </c>
      <c r="E11" s="16">
        <v>0</v>
      </c>
      <c r="F11" s="21" t="s">
        <v>558</v>
      </c>
      <c r="G11" s="22" t="s">
        <v>78</v>
      </c>
      <c r="H11" s="23" t="s">
        <v>99</v>
      </c>
      <c r="I11" s="23">
        <v>8</v>
      </c>
      <c r="J11" s="23">
        <v>0</v>
      </c>
      <c r="K11" s="23">
        <v>1</v>
      </c>
      <c r="L11" s="23">
        <v>0</v>
      </c>
      <c r="M11" s="26" t="s">
        <v>80</v>
      </c>
      <c r="N11" s="26">
        <v>0</v>
      </c>
      <c r="O11" s="26" t="s">
        <v>80</v>
      </c>
      <c r="P11" s="23" t="s">
        <v>119</v>
      </c>
      <c r="Q11" s="16" t="s">
        <v>104</v>
      </c>
      <c r="R11" s="16" t="s">
        <v>80</v>
      </c>
      <c r="S11" s="29" t="s">
        <v>83</v>
      </c>
      <c r="T11" s="30" t="s">
        <v>84</v>
      </c>
      <c r="U11" s="35" t="s">
        <v>956</v>
      </c>
    </row>
    <row r="12" spans="1:21" s="10" customFormat="1" ht="36" customHeight="1">
      <c r="A12" s="14"/>
      <c r="B12" s="15"/>
      <c r="C12" s="15"/>
      <c r="D12" s="15"/>
      <c r="E12" s="15"/>
      <c r="F12" s="15"/>
      <c r="G12" s="15"/>
      <c r="H12" s="15"/>
      <c r="I12" s="15"/>
      <c r="J12" s="15"/>
      <c r="K12" s="15" t="s">
        <v>957</v>
      </c>
      <c r="L12" s="15"/>
      <c r="M12" s="15"/>
      <c r="N12" s="15"/>
      <c r="O12" s="15"/>
      <c r="P12" s="15"/>
      <c r="Q12" s="15"/>
      <c r="R12" s="15"/>
      <c r="S12" s="31"/>
      <c r="T12" s="32"/>
      <c r="U12" s="33"/>
    </row>
    <row r="13" spans="1:21" s="10" customFormat="1" ht="85">
      <c r="A13" s="16">
        <f t="shared" ref="A13:A21" si="1">ROW()-4</f>
        <v>9</v>
      </c>
      <c r="B13" s="17" t="s">
        <v>958</v>
      </c>
      <c r="C13" s="18" t="s">
        <v>959</v>
      </c>
      <c r="D13" s="16" t="s">
        <v>76</v>
      </c>
      <c r="E13" s="16">
        <v>0</v>
      </c>
      <c r="F13" s="21" t="s">
        <v>558</v>
      </c>
      <c r="G13" s="22" t="s">
        <v>78</v>
      </c>
      <c r="H13" s="23" t="s">
        <v>99</v>
      </c>
      <c r="I13" s="16">
        <v>8</v>
      </c>
      <c r="J13" s="16">
        <v>0</v>
      </c>
      <c r="K13" s="16">
        <v>1</v>
      </c>
      <c r="L13" s="16">
        <v>0</v>
      </c>
      <c r="M13" s="25">
        <v>65535</v>
      </c>
      <c r="N13" s="25">
        <v>0</v>
      </c>
      <c r="O13" s="25" t="s">
        <v>80</v>
      </c>
      <c r="P13" s="23" t="s">
        <v>81</v>
      </c>
      <c r="Q13" s="25" t="s">
        <v>80</v>
      </c>
      <c r="R13" s="25" t="s">
        <v>80</v>
      </c>
      <c r="S13" s="29" t="s">
        <v>83</v>
      </c>
      <c r="T13" s="30" t="s">
        <v>84</v>
      </c>
      <c r="U13" s="34" t="s">
        <v>960</v>
      </c>
    </row>
    <row r="14" spans="1:21" s="10" customFormat="1" ht="85">
      <c r="A14" s="16">
        <f t="shared" si="1"/>
        <v>10</v>
      </c>
      <c r="B14" s="17" t="s">
        <v>961</v>
      </c>
      <c r="C14" s="18" t="s">
        <v>962</v>
      </c>
      <c r="D14" s="16" t="s">
        <v>963</v>
      </c>
      <c r="E14" s="16">
        <v>1000</v>
      </c>
      <c r="F14" s="21" t="s">
        <v>558</v>
      </c>
      <c r="G14" s="22" t="s">
        <v>78</v>
      </c>
      <c r="H14" s="23" t="s">
        <v>99</v>
      </c>
      <c r="I14" s="23">
        <v>8</v>
      </c>
      <c r="J14" s="23">
        <v>0</v>
      </c>
      <c r="K14" s="23">
        <v>1</v>
      </c>
      <c r="L14" s="23">
        <v>0</v>
      </c>
      <c r="M14" s="25">
        <v>65535</v>
      </c>
      <c r="N14" s="25">
        <v>0</v>
      </c>
      <c r="O14" s="26" t="s">
        <v>80</v>
      </c>
      <c r="P14" s="23" t="s">
        <v>119</v>
      </c>
      <c r="Q14" s="26" t="s">
        <v>80</v>
      </c>
      <c r="R14" s="26" t="s">
        <v>80</v>
      </c>
      <c r="S14" s="29" t="s">
        <v>83</v>
      </c>
      <c r="T14" s="30" t="s">
        <v>84</v>
      </c>
      <c r="U14" s="35" t="s">
        <v>964</v>
      </c>
    </row>
    <row r="15" spans="1:21" s="10" customFormat="1" ht="30" customHeight="1">
      <c r="A15" s="16">
        <f t="shared" si="1"/>
        <v>11</v>
      </c>
      <c r="B15" s="17" t="s">
        <v>965</v>
      </c>
      <c r="C15" s="18" t="s">
        <v>966</v>
      </c>
      <c r="D15" s="16" t="s">
        <v>963</v>
      </c>
      <c r="E15" s="16">
        <v>1000</v>
      </c>
      <c r="F15" s="21" t="s">
        <v>558</v>
      </c>
      <c r="G15" s="22" t="s">
        <v>78</v>
      </c>
      <c r="H15" s="23" t="s">
        <v>99</v>
      </c>
      <c r="I15" s="23">
        <v>8</v>
      </c>
      <c r="J15" s="23">
        <v>0</v>
      </c>
      <c r="K15" s="23">
        <v>1</v>
      </c>
      <c r="L15" s="23">
        <v>0</v>
      </c>
      <c r="M15" s="25">
        <v>65535</v>
      </c>
      <c r="N15" s="25">
        <v>0</v>
      </c>
      <c r="O15" s="26" t="s">
        <v>80</v>
      </c>
      <c r="P15" s="23" t="s">
        <v>119</v>
      </c>
      <c r="Q15" s="26" t="s">
        <v>80</v>
      </c>
      <c r="R15" s="26" t="s">
        <v>80</v>
      </c>
      <c r="S15" s="29" t="s">
        <v>83</v>
      </c>
      <c r="T15" s="30" t="s">
        <v>84</v>
      </c>
      <c r="U15" s="35" t="s">
        <v>967</v>
      </c>
    </row>
    <row r="16" spans="1:21" s="10" customFormat="1" ht="30" customHeight="1">
      <c r="A16" s="16">
        <f t="shared" si="1"/>
        <v>12</v>
      </c>
      <c r="B16" s="17" t="s">
        <v>968</v>
      </c>
      <c r="C16" s="18" t="s">
        <v>969</v>
      </c>
      <c r="D16" s="16" t="s">
        <v>963</v>
      </c>
      <c r="E16" s="16">
        <v>1000</v>
      </c>
      <c r="F16" s="21" t="s">
        <v>558</v>
      </c>
      <c r="G16" s="22" t="s">
        <v>78</v>
      </c>
      <c r="H16" s="23" t="s">
        <v>99</v>
      </c>
      <c r="I16" s="23">
        <v>8</v>
      </c>
      <c r="J16" s="23">
        <v>0</v>
      </c>
      <c r="K16" s="23">
        <v>1</v>
      </c>
      <c r="L16" s="23">
        <v>0</v>
      </c>
      <c r="M16" s="25">
        <v>65535</v>
      </c>
      <c r="N16" s="25">
        <v>0</v>
      </c>
      <c r="O16" s="26" t="s">
        <v>80</v>
      </c>
      <c r="P16" s="23" t="s">
        <v>119</v>
      </c>
      <c r="Q16" s="26" t="s">
        <v>80</v>
      </c>
      <c r="R16" s="26" t="s">
        <v>80</v>
      </c>
      <c r="S16" s="29" t="s">
        <v>83</v>
      </c>
      <c r="T16" s="30" t="s">
        <v>84</v>
      </c>
      <c r="U16" s="35" t="s">
        <v>970</v>
      </c>
    </row>
    <row r="17" spans="1:21" s="10" customFormat="1" ht="30" customHeight="1">
      <c r="A17" s="16">
        <f t="shared" si="1"/>
        <v>13</v>
      </c>
      <c r="B17" s="17" t="s">
        <v>971</v>
      </c>
      <c r="C17" s="18" t="s">
        <v>972</v>
      </c>
      <c r="D17" s="16" t="s">
        <v>963</v>
      </c>
      <c r="E17" s="16">
        <v>1000</v>
      </c>
      <c r="F17" s="21" t="s">
        <v>558</v>
      </c>
      <c r="G17" s="22" t="s">
        <v>78</v>
      </c>
      <c r="H17" s="23" t="s">
        <v>99</v>
      </c>
      <c r="I17" s="23">
        <v>8</v>
      </c>
      <c r="J17" s="23">
        <v>0</v>
      </c>
      <c r="K17" s="23">
        <v>1</v>
      </c>
      <c r="L17" s="23">
        <v>0</v>
      </c>
      <c r="M17" s="25">
        <v>65535</v>
      </c>
      <c r="N17" s="25">
        <v>0</v>
      </c>
      <c r="O17" s="26" t="s">
        <v>80</v>
      </c>
      <c r="P17" s="23" t="s">
        <v>119</v>
      </c>
      <c r="Q17" s="26" t="s">
        <v>80</v>
      </c>
      <c r="R17" s="26" t="s">
        <v>80</v>
      </c>
      <c r="S17" s="29" t="s">
        <v>83</v>
      </c>
      <c r="T17" s="30" t="s">
        <v>84</v>
      </c>
      <c r="U17" s="35" t="s">
        <v>973</v>
      </c>
    </row>
    <row r="18" spans="1:21" s="10" customFormat="1" ht="30" customHeight="1">
      <c r="A18" s="16">
        <f t="shared" si="1"/>
        <v>14</v>
      </c>
      <c r="B18" s="17" t="s">
        <v>974</v>
      </c>
      <c r="C18" s="18" t="s">
        <v>975</v>
      </c>
      <c r="D18" s="16" t="s">
        <v>963</v>
      </c>
      <c r="E18" s="16">
        <v>1000</v>
      </c>
      <c r="F18" s="21" t="s">
        <v>558</v>
      </c>
      <c r="G18" s="22" t="s">
        <v>78</v>
      </c>
      <c r="H18" s="23" t="s">
        <v>99</v>
      </c>
      <c r="I18" s="23">
        <v>8</v>
      </c>
      <c r="J18" s="23">
        <v>0</v>
      </c>
      <c r="K18" s="23">
        <v>1</v>
      </c>
      <c r="L18" s="23">
        <v>0</v>
      </c>
      <c r="M18" s="25">
        <v>65535</v>
      </c>
      <c r="N18" s="25">
        <v>0</v>
      </c>
      <c r="O18" s="26" t="s">
        <v>80</v>
      </c>
      <c r="P18" s="23" t="s">
        <v>119</v>
      </c>
      <c r="Q18" s="26" t="s">
        <v>80</v>
      </c>
      <c r="R18" s="26" t="s">
        <v>80</v>
      </c>
      <c r="S18" s="29" t="s">
        <v>83</v>
      </c>
      <c r="T18" s="30" t="s">
        <v>84</v>
      </c>
      <c r="U18" s="35" t="s">
        <v>976</v>
      </c>
    </row>
    <row r="19" spans="1:21" s="10" customFormat="1" ht="30" customHeight="1">
      <c r="A19" s="16">
        <f t="shared" si="1"/>
        <v>15</v>
      </c>
      <c r="B19" s="17" t="s">
        <v>977</v>
      </c>
      <c r="C19" s="18" t="s">
        <v>978</v>
      </c>
      <c r="D19" s="16" t="s">
        <v>963</v>
      </c>
      <c r="E19" s="16">
        <v>1000</v>
      </c>
      <c r="F19" s="21" t="s">
        <v>558</v>
      </c>
      <c r="G19" s="22" t="s">
        <v>78</v>
      </c>
      <c r="H19" s="23" t="s">
        <v>99</v>
      </c>
      <c r="I19" s="23">
        <v>8</v>
      </c>
      <c r="J19" s="23">
        <v>0</v>
      </c>
      <c r="K19" s="23">
        <v>1</v>
      </c>
      <c r="L19" s="23">
        <v>0</v>
      </c>
      <c r="M19" s="25">
        <v>65535</v>
      </c>
      <c r="N19" s="25">
        <v>0</v>
      </c>
      <c r="O19" s="26" t="s">
        <v>80</v>
      </c>
      <c r="P19" s="23" t="s">
        <v>119</v>
      </c>
      <c r="Q19" s="26" t="s">
        <v>80</v>
      </c>
      <c r="R19" s="26" t="s">
        <v>80</v>
      </c>
      <c r="S19" s="29" t="s">
        <v>83</v>
      </c>
      <c r="T19" s="30" t="s">
        <v>84</v>
      </c>
      <c r="U19" s="35" t="s">
        <v>979</v>
      </c>
    </row>
    <row r="20" spans="1:21" s="10" customFormat="1" ht="30" customHeight="1">
      <c r="A20" s="16">
        <f t="shared" si="1"/>
        <v>16</v>
      </c>
      <c r="B20" s="17" t="s">
        <v>980</v>
      </c>
      <c r="C20" s="18" t="s">
        <v>981</v>
      </c>
      <c r="D20" s="16" t="s">
        <v>963</v>
      </c>
      <c r="E20" s="16">
        <v>1000</v>
      </c>
      <c r="F20" s="21" t="s">
        <v>558</v>
      </c>
      <c r="G20" s="22" t="s">
        <v>78</v>
      </c>
      <c r="H20" s="23" t="s">
        <v>99</v>
      </c>
      <c r="I20" s="23">
        <v>8</v>
      </c>
      <c r="J20" s="23">
        <v>0</v>
      </c>
      <c r="K20" s="23">
        <v>1</v>
      </c>
      <c r="L20" s="23">
        <v>0</v>
      </c>
      <c r="M20" s="25">
        <v>65535</v>
      </c>
      <c r="N20" s="25">
        <v>0</v>
      </c>
      <c r="O20" s="26" t="s">
        <v>80</v>
      </c>
      <c r="P20" s="23" t="s">
        <v>119</v>
      </c>
      <c r="Q20" s="26" t="s">
        <v>80</v>
      </c>
      <c r="R20" s="26" t="s">
        <v>80</v>
      </c>
      <c r="S20" s="29" t="s">
        <v>83</v>
      </c>
      <c r="T20" s="30" t="s">
        <v>84</v>
      </c>
      <c r="U20" s="35" t="s">
        <v>982</v>
      </c>
    </row>
    <row r="21" spans="1:21" s="10" customFormat="1" ht="30" customHeight="1">
      <c r="A21" s="16">
        <f t="shared" si="1"/>
        <v>17</v>
      </c>
      <c r="B21" s="17" t="s">
        <v>983</v>
      </c>
      <c r="C21" s="18" t="s">
        <v>984</v>
      </c>
      <c r="D21" s="16" t="s">
        <v>963</v>
      </c>
      <c r="E21" s="16">
        <v>1000</v>
      </c>
      <c r="F21" s="21" t="s">
        <v>558</v>
      </c>
      <c r="G21" s="22" t="s">
        <v>78</v>
      </c>
      <c r="H21" s="23" t="s">
        <v>99</v>
      </c>
      <c r="I21" s="23">
        <v>8</v>
      </c>
      <c r="J21" s="23">
        <v>0</v>
      </c>
      <c r="K21" s="23">
        <v>1</v>
      </c>
      <c r="L21" s="23">
        <v>0</v>
      </c>
      <c r="M21" s="25">
        <v>65535</v>
      </c>
      <c r="N21" s="25">
        <v>0</v>
      </c>
      <c r="O21" s="26" t="s">
        <v>80</v>
      </c>
      <c r="P21" s="23" t="s">
        <v>119</v>
      </c>
      <c r="Q21" s="26" t="s">
        <v>80</v>
      </c>
      <c r="R21" s="26" t="s">
        <v>80</v>
      </c>
      <c r="S21" s="29" t="s">
        <v>83</v>
      </c>
      <c r="T21" s="30" t="s">
        <v>84</v>
      </c>
      <c r="U21" s="35" t="s">
        <v>985</v>
      </c>
    </row>
    <row r="22" spans="1:21" s="10" customFormat="1" ht="30.75" customHeight="1">
      <c r="A22" s="16">
        <f t="shared" ref="A22:A37" si="2">ROW()-4</f>
        <v>18</v>
      </c>
      <c r="B22" s="17" t="s">
        <v>986</v>
      </c>
      <c r="C22" s="18" t="s">
        <v>987</v>
      </c>
      <c r="D22" s="16" t="s">
        <v>963</v>
      </c>
      <c r="E22" s="16">
        <v>1000</v>
      </c>
      <c r="F22" s="21" t="s">
        <v>558</v>
      </c>
      <c r="G22" s="22" t="s">
        <v>78</v>
      </c>
      <c r="H22" s="23" t="s">
        <v>140</v>
      </c>
      <c r="I22" s="23">
        <v>8</v>
      </c>
      <c r="J22" s="23">
        <v>0</v>
      </c>
      <c r="K22" s="23">
        <v>0</v>
      </c>
      <c r="L22" s="23">
        <v>0</v>
      </c>
      <c r="M22" s="23">
        <v>0</v>
      </c>
      <c r="N22" s="26">
        <v>0</v>
      </c>
      <c r="O22" s="26" t="s">
        <v>80</v>
      </c>
      <c r="P22" s="23" t="s">
        <v>119</v>
      </c>
      <c r="Q22" s="26" t="s">
        <v>80</v>
      </c>
      <c r="R22" s="26" t="s">
        <v>80</v>
      </c>
      <c r="S22" s="29" t="s">
        <v>83</v>
      </c>
      <c r="T22" s="30" t="s">
        <v>84</v>
      </c>
      <c r="U22" s="35" t="s">
        <v>988</v>
      </c>
    </row>
    <row r="23" spans="1:21" s="10" customFormat="1" ht="30.75" customHeight="1">
      <c r="A23" s="16">
        <f t="shared" si="2"/>
        <v>19</v>
      </c>
      <c r="B23" s="17" t="s">
        <v>989</v>
      </c>
      <c r="C23" s="18" t="s">
        <v>990</v>
      </c>
      <c r="D23" s="16" t="s">
        <v>963</v>
      </c>
      <c r="E23" s="16">
        <v>1000</v>
      </c>
      <c r="F23" s="21" t="s">
        <v>558</v>
      </c>
      <c r="G23" s="22" t="s">
        <v>78</v>
      </c>
      <c r="H23" s="23" t="s">
        <v>140</v>
      </c>
      <c r="I23" s="23">
        <v>8</v>
      </c>
      <c r="J23" s="23">
        <v>0</v>
      </c>
      <c r="K23" s="23">
        <v>0</v>
      </c>
      <c r="L23" s="23">
        <v>0</v>
      </c>
      <c r="M23" s="23">
        <v>0</v>
      </c>
      <c r="N23" s="26">
        <v>0</v>
      </c>
      <c r="O23" s="26" t="s">
        <v>80</v>
      </c>
      <c r="P23" s="23" t="s">
        <v>119</v>
      </c>
      <c r="Q23" s="26" t="s">
        <v>80</v>
      </c>
      <c r="R23" s="26" t="s">
        <v>80</v>
      </c>
      <c r="S23" s="29" t="s">
        <v>83</v>
      </c>
      <c r="T23" s="30" t="s">
        <v>84</v>
      </c>
      <c r="U23" s="35" t="s">
        <v>991</v>
      </c>
    </row>
    <row r="24" spans="1:21" s="10" customFormat="1" ht="30.75" customHeight="1">
      <c r="A24" s="16">
        <f t="shared" si="2"/>
        <v>20</v>
      </c>
      <c r="B24" s="17" t="s">
        <v>992</v>
      </c>
      <c r="C24" s="18" t="s">
        <v>993</v>
      </c>
      <c r="D24" s="16" t="s">
        <v>963</v>
      </c>
      <c r="E24" s="16">
        <v>1000</v>
      </c>
      <c r="F24" s="21" t="s">
        <v>558</v>
      </c>
      <c r="G24" s="22" t="s">
        <v>78</v>
      </c>
      <c r="H24" s="23" t="s">
        <v>140</v>
      </c>
      <c r="I24" s="23">
        <v>8</v>
      </c>
      <c r="J24" s="23">
        <v>0</v>
      </c>
      <c r="K24" s="23">
        <v>0</v>
      </c>
      <c r="L24" s="23">
        <v>0</v>
      </c>
      <c r="M24" s="23">
        <v>0</v>
      </c>
      <c r="N24" s="26">
        <v>0</v>
      </c>
      <c r="O24" s="26" t="s">
        <v>80</v>
      </c>
      <c r="P24" s="23" t="s">
        <v>119</v>
      </c>
      <c r="Q24" s="26" t="s">
        <v>80</v>
      </c>
      <c r="R24" s="26" t="s">
        <v>80</v>
      </c>
      <c r="S24" s="29" t="s">
        <v>83</v>
      </c>
      <c r="T24" s="30" t="s">
        <v>84</v>
      </c>
      <c r="U24" s="35" t="s">
        <v>994</v>
      </c>
    </row>
    <row r="25" spans="1:21" s="10" customFormat="1" ht="30.75" customHeight="1">
      <c r="A25" s="16">
        <f t="shared" si="2"/>
        <v>21</v>
      </c>
      <c r="B25" s="17" t="s">
        <v>995</v>
      </c>
      <c r="C25" s="18" t="s">
        <v>996</v>
      </c>
      <c r="D25" s="16" t="s">
        <v>963</v>
      </c>
      <c r="E25" s="16">
        <v>1000</v>
      </c>
      <c r="F25" s="21" t="s">
        <v>558</v>
      </c>
      <c r="G25" s="22" t="s">
        <v>78</v>
      </c>
      <c r="H25" s="23" t="s">
        <v>140</v>
      </c>
      <c r="I25" s="23">
        <v>8</v>
      </c>
      <c r="J25" s="23">
        <v>0</v>
      </c>
      <c r="K25" s="23">
        <v>0</v>
      </c>
      <c r="L25" s="23">
        <v>0</v>
      </c>
      <c r="M25" s="23">
        <v>0</v>
      </c>
      <c r="N25" s="26">
        <v>0</v>
      </c>
      <c r="O25" s="26" t="s">
        <v>80</v>
      </c>
      <c r="P25" s="23" t="s">
        <v>119</v>
      </c>
      <c r="Q25" s="26" t="s">
        <v>80</v>
      </c>
      <c r="R25" s="26" t="s">
        <v>80</v>
      </c>
      <c r="S25" s="29" t="s">
        <v>83</v>
      </c>
      <c r="T25" s="30" t="s">
        <v>84</v>
      </c>
      <c r="U25" s="35" t="s">
        <v>997</v>
      </c>
    </row>
    <row r="26" spans="1:21" s="10" customFormat="1" ht="30.75" customHeight="1">
      <c r="A26" s="16">
        <f t="shared" si="2"/>
        <v>22</v>
      </c>
      <c r="B26" s="17" t="s">
        <v>998</v>
      </c>
      <c r="C26" s="18" t="s">
        <v>999</v>
      </c>
      <c r="D26" s="16" t="s">
        <v>963</v>
      </c>
      <c r="E26" s="16">
        <v>1000</v>
      </c>
      <c r="F26" s="21" t="s">
        <v>558</v>
      </c>
      <c r="G26" s="22" t="s">
        <v>78</v>
      </c>
      <c r="H26" s="23" t="s">
        <v>140</v>
      </c>
      <c r="I26" s="23">
        <v>8</v>
      </c>
      <c r="J26" s="23">
        <v>0</v>
      </c>
      <c r="K26" s="23">
        <v>0</v>
      </c>
      <c r="L26" s="23">
        <v>0</v>
      </c>
      <c r="M26" s="23">
        <v>0</v>
      </c>
      <c r="N26" s="26">
        <v>0</v>
      </c>
      <c r="O26" s="26" t="s">
        <v>80</v>
      </c>
      <c r="P26" s="23" t="s">
        <v>119</v>
      </c>
      <c r="Q26" s="26" t="s">
        <v>80</v>
      </c>
      <c r="R26" s="26" t="s">
        <v>80</v>
      </c>
      <c r="S26" s="29" t="s">
        <v>83</v>
      </c>
      <c r="T26" s="30" t="s">
        <v>84</v>
      </c>
      <c r="U26" s="35" t="s">
        <v>1000</v>
      </c>
    </row>
    <row r="27" spans="1:21" s="10" customFormat="1" ht="30.75" customHeight="1">
      <c r="A27" s="16">
        <f t="shared" si="2"/>
        <v>23</v>
      </c>
      <c r="B27" s="17" t="s">
        <v>1001</v>
      </c>
      <c r="C27" s="18" t="s">
        <v>1002</v>
      </c>
      <c r="D27" s="16" t="s">
        <v>963</v>
      </c>
      <c r="E27" s="16">
        <v>1000</v>
      </c>
      <c r="F27" s="21" t="s">
        <v>558</v>
      </c>
      <c r="G27" s="22" t="s">
        <v>78</v>
      </c>
      <c r="H27" s="23" t="s">
        <v>140</v>
      </c>
      <c r="I27" s="23">
        <v>8</v>
      </c>
      <c r="J27" s="23">
        <v>0</v>
      </c>
      <c r="K27" s="23">
        <v>0</v>
      </c>
      <c r="L27" s="23">
        <v>0</v>
      </c>
      <c r="M27" s="23">
        <v>0</v>
      </c>
      <c r="N27" s="26">
        <v>0</v>
      </c>
      <c r="O27" s="26" t="s">
        <v>80</v>
      </c>
      <c r="P27" s="23" t="s">
        <v>119</v>
      </c>
      <c r="Q27" s="26" t="s">
        <v>80</v>
      </c>
      <c r="R27" s="26" t="s">
        <v>80</v>
      </c>
      <c r="S27" s="29" t="s">
        <v>83</v>
      </c>
      <c r="T27" s="30" t="s">
        <v>84</v>
      </c>
      <c r="U27" s="35" t="s">
        <v>1003</v>
      </c>
    </row>
    <row r="28" spans="1:21" s="10" customFormat="1" ht="30.75" customHeight="1">
      <c r="A28" s="16">
        <f t="shared" si="2"/>
        <v>24</v>
      </c>
      <c r="B28" s="17" t="s">
        <v>1004</v>
      </c>
      <c r="C28" s="18" t="s">
        <v>1005</v>
      </c>
      <c r="D28" s="16" t="s">
        <v>963</v>
      </c>
      <c r="E28" s="16">
        <v>1000</v>
      </c>
      <c r="F28" s="21" t="s">
        <v>558</v>
      </c>
      <c r="G28" s="22" t="s">
        <v>78</v>
      </c>
      <c r="H28" s="23" t="s">
        <v>140</v>
      </c>
      <c r="I28" s="23">
        <v>8</v>
      </c>
      <c r="J28" s="23">
        <v>0</v>
      </c>
      <c r="K28" s="23">
        <v>0</v>
      </c>
      <c r="L28" s="23">
        <v>0</v>
      </c>
      <c r="M28" s="23">
        <v>0</v>
      </c>
      <c r="N28" s="26">
        <v>0</v>
      </c>
      <c r="O28" s="26" t="s">
        <v>80</v>
      </c>
      <c r="P28" s="23" t="s">
        <v>119</v>
      </c>
      <c r="Q28" s="26" t="s">
        <v>80</v>
      </c>
      <c r="R28" s="26" t="s">
        <v>80</v>
      </c>
      <c r="S28" s="29" t="s">
        <v>83</v>
      </c>
      <c r="T28" s="30" t="s">
        <v>84</v>
      </c>
      <c r="U28" s="35" t="s">
        <v>1006</v>
      </c>
    </row>
    <row r="29" spans="1:21" s="10" customFormat="1" ht="30.75" customHeight="1">
      <c r="A29" s="16">
        <f t="shared" si="2"/>
        <v>25</v>
      </c>
      <c r="B29" s="17" t="s">
        <v>1007</v>
      </c>
      <c r="C29" s="18" t="s">
        <v>1008</v>
      </c>
      <c r="D29" s="16" t="s">
        <v>963</v>
      </c>
      <c r="E29" s="16">
        <v>1000</v>
      </c>
      <c r="F29" s="21" t="s">
        <v>558</v>
      </c>
      <c r="G29" s="22" t="s">
        <v>78</v>
      </c>
      <c r="H29" s="23" t="s">
        <v>140</v>
      </c>
      <c r="I29" s="23">
        <v>8</v>
      </c>
      <c r="J29" s="23">
        <v>0</v>
      </c>
      <c r="K29" s="23">
        <v>0</v>
      </c>
      <c r="L29" s="23">
        <v>0</v>
      </c>
      <c r="M29" s="23">
        <v>0</v>
      </c>
      <c r="N29" s="26">
        <v>0</v>
      </c>
      <c r="O29" s="26" t="s">
        <v>80</v>
      </c>
      <c r="P29" s="23" t="s">
        <v>119</v>
      </c>
      <c r="Q29" s="26" t="s">
        <v>80</v>
      </c>
      <c r="R29" s="26" t="s">
        <v>80</v>
      </c>
      <c r="S29" s="29" t="s">
        <v>83</v>
      </c>
      <c r="T29" s="30" t="s">
        <v>84</v>
      </c>
      <c r="U29" s="35" t="s">
        <v>1009</v>
      </c>
    </row>
    <row r="30" spans="1:21" s="10" customFormat="1" ht="30.75" customHeight="1">
      <c r="A30" s="16">
        <f t="shared" si="2"/>
        <v>26</v>
      </c>
      <c r="B30" s="17" t="s">
        <v>1010</v>
      </c>
      <c r="C30" s="18" t="s">
        <v>1011</v>
      </c>
      <c r="D30" s="16" t="s">
        <v>963</v>
      </c>
      <c r="E30" s="16">
        <v>1000</v>
      </c>
      <c r="F30" s="21" t="s">
        <v>558</v>
      </c>
      <c r="G30" s="22" t="s">
        <v>78</v>
      </c>
      <c r="H30" s="23" t="s">
        <v>140</v>
      </c>
      <c r="I30" s="23">
        <v>8</v>
      </c>
      <c r="J30" s="23">
        <v>0</v>
      </c>
      <c r="K30" s="23">
        <v>0</v>
      </c>
      <c r="L30" s="23">
        <v>0</v>
      </c>
      <c r="M30" s="23">
        <v>0</v>
      </c>
      <c r="N30" s="26">
        <v>0</v>
      </c>
      <c r="O30" s="26" t="s">
        <v>80</v>
      </c>
      <c r="P30" s="23" t="s">
        <v>119</v>
      </c>
      <c r="Q30" s="26" t="s">
        <v>80</v>
      </c>
      <c r="R30" s="26" t="s">
        <v>80</v>
      </c>
      <c r="S30" s="29" t="s">
        <v>83</v>
      </c>
      <c r="T30" s="30" t="s">
        <v>84</v>
      </c>
      <c r="U30" s="35" t="s">
        <v>1012</v>
      </c>
    </row>
    <row r="31" spans="1:21" s="10" customFormat="1" ht="30.75" customHeight="1">
      <c r="A31" s="16">
        <f t="shared" si="2"/>
        <v>27</v>
      </c>
      <c r="B31" s="17" t="s">
        <v>1013</v>
      </c>
      <c r="C31" s="18" t="s">
        <v>1014</v>
      </c>
      <c r="D31" s="16" t="s">
        <v>963</v>
      </c>
      <c r="E31" s="16">
        <v>1000</v>
      </c>
      <c r="F31" s="21" t="s">
        <v>558</v>
      </c>
      <c r="G31" s="22" t="s">
        <v>78</v>
      </c>
      <c r="H31" s="23" t="s">
        <v>140</v>
      </c>
      <c r="I31" s="23">
        <v>8</v>
      </c>
      <c r="J31" s="23">
        <v>0</v>
      </c>
      <c r="K31" s="23">
        <v>0</v>
      </c>
      <c r="L31" s="23">
        <v>0</v>
      </c>
      <c r="M31" s="23">
        <v>0</v>
      </c>
      <c r="N31" s="26">
        <v>0</v>
      </c>
      <c r="O31" s="26" t="s">
        <v>80</v>
      </c>
      <c r="P31" s="23" t="s">
        <v>119</v>
      </c>
      <c r="Q31" s="26" t="s">
        <v>80</v>
      </c>
      <c r="R31" s="26" t="s">
        <v>80</v>
      </c>
      <c r="S31" s="29" t="s">
        <v>83</v>
      </c>
      <c r="T31" s="30" t="s">
        <v>84</v>
      </c>
      <c r="U31" s="35" t="s">
        <v>1015</v>
      </c>
    </row>
    <row r="32" spans="1:21" s="10" customFormat="1" ht="30.75" customHeight="1">
      <c r="A32" s="16">
        <f t="shared" si="2"/>
        <v>28</v>
      </c>
      <c r="B32" s="17" t="s">
        <v>1016</v>
      </c>
      <c r="C32" s="18" t="s">
        <v>1017</v>
      </c>
      <c r="D32" s="16" t="s">
        <v>963</v>
      </c>
      <c r="E32" s="16">
        <v>1000</v>
      </c>
      <c r="F32" s="21" t="s">
        <v>558</v>
      </c>
      <c r="G32" s="22" t="s">
        <v>78</v>
      </c>
      <c r="H32" s="23" t="s">
        <v>140</v>
      </c>
      <c r="I32" s="23">
        <v>8</v>
      </c>
      <c r="J32" s="23">
        <v>0</v>
      </c>
      <c r="K32" s="23">
        <v>0</v>
      </c>
      <c r="L32" s="23">
        <v>0</v>
      </c>
      <c r="M32" s="23">
        <v>0</v>
      </c>
      <c r="N32" s="26">
        <v>0</v>
      </c>
      <c r="O32" s="26" t="s">
        <v>80</v>
      </c>
      <c r="P32" s="23" t="s">
        <v>119</v>
      </c>
      <c r="Q32" s="26" t="s">
        <v>80</v>
      </c>
      <c r="R32" s="26" t="s">
        <v>80</v>
      </c>
      <c r="S32" s="29" t="s">
        <v>83</v>
      </c>
      <c r="T32" s="30" t="s">
        <v>84</v>
      </c>
      <c r="U32" s="35" t="s">
        <v>1018</v>
      </c>
    </row>
    <row r="33" spans="1:21" s="10" customFormat="1" ht="30.75" customHeight="1">
      <c r="A33" s="16">
        <f t="shared" si="2"/>
        <v>29</v>
      </c>
      <c r="B33" s="17" t="s">
        <v>1019</v>
      </c>
      <c r="C33" s="18" t="s">
        <v>1020</v>
      </c>
      <c r="D33" s="16" t="s">
        <v>963</v>
      </c>
      <c r="E33" s="16">
        <v>1000</v>
      </c>
      <c r="F33" s="21" t="s">
        <v>558</v>
      </c>
      <c r="G33" s="22" t="s">
        <v>78</v>
      </c>
      <c r="H33" s="23" t="s">
        <v>140</v>
      </c>
      <c r="I33" s="23">
        <v>8</v>
      </c>
      <c r="J33" s="23">
        <v>0</v>
      </c>
      <c r="K33" s="23">
        <v>0</v>
      </c>
      <c r="L33" s="23">
        <v>0</v>
      </c>
      <c r="M33" s="23">
        <v>0</v>
      </c>
      <c r="N33" s="26">
        <v>0</v>
      </c>
      <c r="O33" s="26" t="s">
        <v>80</v>
      </c>
      <c r="P33" s="23" t="s">
        <v>119</v>
      </c>
      <c r="Q33" s="26" t="s">
        <v>80</v>
      </c>
      <c r="R33" s="26" t="s">
        <v>80</v>
      </c>
      <c r="S33" s="29" t="s">
        <v>83</v>
      </c>
      <c r="T33" s="30" t="s">
        <v>84</v>
      </c>
      <c r="U33" s="35" t="s">
        <v>1021</v>
      </c>
    </row>
    <row r="34" spans="1:21" s="10" customFormat="1" ht="30.75" customHeight="1">
      <c r="A34" s="16">
        <f t="shared" si="2"/>
        <v>30</v>
      </c>
      <c r="B34" s="17" t="s">
        <v>1022</v>
      </c>
      <c r="C34" s="18" t="s">
        <v>1023</v>
      </c>
      <c r="D34" s="16" t="s">
        <v>963</v>
      </c>
      <c r="E34" s="16">
        <v>1000</v>
      </c>
      <c r="F34" s="21" t="s">
        <v>558</v>
      </c>
      <c r="G34" s="22" t="s">
        <v>78</v>
      </c>
      <c r="H34" s="23" t="s">
        <v>140</v>
      </c>
      <c r="I34" s="23">
        <v>8</v>
      </c>
      <c r="J34" s="23">
        <v>0</v>
      </c>
      <c r="K34" s="23">
        <v>0</v>
      </c>
      <c r="L34" s="23">
        <v>0</v>
      </c>
      <c r="M34" s="23">
        <v>0</v>
      </c>
      <c r="N34" s="26">
        <v>0</v>
      </c>
      <c r="O34" s="26" t="s">
        <v>80</v>
      </c>
      <c r="P34" s="23" t="s">
        <v>119</v>
      </c>
      <c r="Q34" s="26" t="s">
        <v>80</v>
      </c>
      <c r="R34" s="26" t="s">
        <v>80</v>
      </c>
      <c r="S34" s="29" t="s">
        <v>83</v>
      </c>
      <c r="T34" s="30" t="s">
        <v>84</v>
      </c>
      <c r="U34" s="35" t="s">
        <v>1024</v>
      </c>
    </row>
    <row r="35" spans="1:21" s="10" customFormat="1" ht="30.75" customHeight="1">
      <c r="A35" s="16">
        <f t="shared" si="2"/>
        <v>31</v>
      </c>
      <c r="B35" s="17" t="s">
        <v>1025</v>
      </c>
      <c r="C35" s="18" t="s">
        <v>1026</v>
      </c>
      <c r="D35" s="16" t="s">
        <v>963</v>
      </c>
      <c r="E35" s="16">
        <v>1000</v>
      </c>
      <c r="F35" s="21" t="s">
        <v>558</v>
      </c>
      <c r="G35" s="22" t="s">
        <v>78</v>
      </c>
      <c r="H35" s="23" t="s">
        <v>140</v>
      </c>
      <c r="I35" s="23">
        <v>8</v>
      </c>
      <c r="J35" s="23">
        <v>0</v>
      </c>
      <c r="K35" s="23">
        <v>0</v>
      </c>
      <c r="L35" s="23">
        <v>0</v>
      </c>
      <c r="M35" s="23">
        <v>0</v>
      </c>
      <c r="N35" s="26">
        <v>0</v>
      </c>
      <c r="O35" s="26" t="s">
        <v>80</v>
      </c>
      <c r="P35" s="23" t="s">
        <v>119</v>
      </c>
      <c r="Q35" s="26" t="s">
        <v>80</v>
      </c>
      <c r="R35" s="26" t="s">
        <v>80</v>
      </c>
      <c r="S35" s="29" t="s">
        <v>83</v>
      </c>
      <c r="T35" s="30" t="s">
        <v>84</v>
      </c>
      <c r="U35" s="35" t="s">
        <v>1027</v>
      </c>
    </row>
    <row r="36" spans="1:21" s="10" customFormat="1" ht="30.75" customHeight="1">
      <c r="A36" s="16">
        <f t="shared" si="2"/>
        <v>32</v>
      </c>
      <c r="B36" s="17" t="s">
        <v>1028</v>
      </c>
      <c r="C36" s="18" t="s">
        <v>1029</v>
      </c>
      <c r="D36" s="16" t="s">
        <v>963</v>
      </c>
      <c r="E36" s="16">
        <v>1000</v>
      </c>
      <c r="F36" s="21" t="s">
        <v>558</v>
      </c>
      <c r="G36" s="22" t="s">
        <v>78</v>
      </c>
      <c r="H36" s="23" t="s">
        <v>140</v>
      </c>
      <c r="I36" s="23">
        <v>8</v>
      </c>
      <c r="J36" s="23">
        <v>0</v>
      </c>
      <c r="K36" s="23">
        <v>0</v>
      </c>
      <c r="L36" s="23">
        <v>0</v>
      </c>
      <c r="M36" s="23">
        <v>0</v>
      </c>
      <c r="N36" s="26">
        <v>0</v>
      </c>
      <c r="O36" s="26" t="s">
        <v>80</v>
      </c>
      <c r="P36" s="23" t="s">
        <v>119</v>
      </c>
      <c r="Q36" s="26" t="s">
        <v>80</v>
      </c>
      <c r="R36" s="26" t="s">
        <v>80</v>
      </c>
      <c r="S36" s="29" t="s">
        <v>83</v>
      </c>
      <c r="T36" s="30" t="s">
        <v>84</v>
      </c>
      <c r="U36" s="35" t="s">
        <v>1030</v>
      </c>
    </row>
    <row r="37" spans="1:21" s="10" customFormat="1" ht="30.75" customHeight="1">
      <c r="A37" s="16">
        <f t="shared" si="2"/>
        <v>33</v>
      </c>
      <c r="B37" s="17" t="s">
        <v>1031</v>
      </c>
      <c r="C37" s="18" t="s">
        <v>1032</v>
      </c>
      <c r="D37" s="16" t="s">
        <v>963</v>
      </c>
      <c r="E37" s="16">
        <v>1000</v>
      </c>
      <c r="F37" s="21" t="s">
        <v>558</v>
      </c>
      <c r="G37" s="22" t="s">
        <v>78</v>
      </c>
      <c r="H37" s="23" t="s">
        <v>140</v>
      </c>
      <c r="I37" s="23">
        <v>8</v>
      </c>
      <c r="J37" s="23">
        <v>0</v>
      </c>
      <c r="K37" s="23">
        <v>0</v>
      </c>
      <c r="L37" s="23">
        <v>0</v>
      </c>
      <c r="M37" s="23">
        <v>0</v>
      </c>
      <c r="N37" s="26">
        <v>0</v>
      </c>
      <c r="O37" s="26" t="s">
        <v>80</v>
      </c>
      <c r="P37" s="23" t="s">
        <v>119</v>
      </c>
      <c r="Q37" s="26" t="s">
        <v>80</v>
      </c>
      <c r="R37" s="26" t="s">
        <v>80</v>
      </c>
      <c r="S37" s="29" t="s">
        <v>83</v>
      </c>
      <c r="T37" s="30" t="s">
        <v>84</v>
      </c>
      <c r="U37" s="35" t="s">
        <v>1033</v>
      </c>
    </row>
    <row r="38" spans="1:21" s="10" customFormat="1" ht="36" customHeight="1">
      <c r="A38" s="14"/>
      <c r="B38" s="15"/>
      <c r="C38" s="15"/>
      <c r="D38" s="15"/>
      <c r="E38" s="15"/>
      <c r="F38" s="15"/>
      <c r="G38" s="15"/>
      <c r="H38" s="15"/>
      <c r="I38" s="15"/>
      <c r="J38" s="15"/>
      <c r="K38" s="15" t="s">
        <v>1034</v>
      </c>
      <c r="L38" s="15"/>
      <c r="M38" s="15"/>
      <c r="N38" s="15"/>
      <c r="O38" s="15"/>
      <c r="P38" s="15"/>
      <c r="Q38" s="15"/>
      <c r="R38" s="15"/>
      <c r="S38" s="29"/>
      <c r="T38" s="30"/>
      <c r="U38" s="33"/>
    </row>
    <row r="39" spans="1:21" s="10" customFormat="1" ht="167.25" customHeight="1">
      <c r="A39" s="16">
        <f t="shared" ref="A39:A43" si="3">ROW()-4</f>
        <v>35</v>
      </c>
      <c r="B39" s="17" t="s">
        <v>1035</v>
      </c>
      <c r="C39" s="18" t="s">
        <v>1036</v>
      </c>
      <c r="D39" s="16" t="s">
        <v>963</v>
      </c>
      <c r="E39" s="16">
        <v>500</v>
      </c>
      <c r="F39" s="21" t="s">
        <v>558</v>
      </c>
      <c r="G39" s="16" t="s">
        <v>195</v>
      </c>
      <c r="H39" s="23" t="s">
        <v>99</v>
      </c>
      <c r="I39" s="16">
        <v>8</v>
      </c>
      <c r="J39" s="16">
        <v>0</v>
      </c>
      <c r="K39" s="16">
        <v>1</v>
      </c>
      <c r="L39" s="23">
        <v>0</v>
      </c>
      <c r="M39" s="23">
        <v>0</v>
      </c>
      <c r="N39" s="25">
        <v>0</v>
      </c>
      <c r="O39" s="25" t="s">
        <v>80</v>
      </c>
      <c r="P39" s="23" t="s">
        <v>119</v>
      </c>
      <c r="Q39" s="25" t="s">
        <v>80</v>
      </c>
      <c r="R39" s="25" t="s">
        <v>80</v>
      </c>
      <c r="S39" s="29" t="s">
        <v>83</v>
      </c>
      <c r="T39" s="30" t="s">
        <v>84</v>
      </c>
      <c r="U39" s="34" t="s">
        <v>1037</v>
      </c>
    </row>
    <row r="40" spans="1:21" s="10" customFormat="1" ht="85">
      <c r="A40" s="16">
        <f t="shared" si="3"/>
        <v>36</v>
      </c>
      <c r="B40" s="17" t="s">
        <v>1038</v>
      </c>
      <c r="C40" s="18" t="s">
        <v>1039</v>
      </c>
      <c r="D40" s="16" t="s">
        <v>963</v>
      </c>
      <c r="E40" s="16">
        <v>500</v>
      </c>
      <c r="F40" s="21" t="s">
        <v>558</v>
      </c>
      <c r="G40" s="16" t="s">
        <v>195</v>
      </c>
      <c r="H40" s="23" t="s">
        <v>99</v>
      </c>
      <c r="I40" s="16">
        <v>8</v>
      </c>
      <c r="J40" s="16">
        <v>0</v>
      </c>
      <c r="K40" s="16">
        <v>1</v>
      </c>
      <c r="L40" s="23">
        <v>0</v>
      </c>
      <c r="M40" s="23">
        <v>0</v>
      </c>
      <c r="N40" s="25">
        <v>0</v>
      </c>
      <c r="O40" s="25" t="s">
        <v>80</v>
      </c>
      <c r="P40" s="23" t="s">
        <v>119</v>
      </c>
      <c r="Q40" s="25" t="s">
        <v>80</v>
      </c>
      <c r="R40" s="25" t="s">
        <v>80</v>
      </c>
      <c r="S40" s="29" t="s">
        <v>83</v>
      </c>
      <c r="T40" s="30" t="s">
        <v>84</v>
      </c>
      <c r="U40" s="34" t="s">
        <v>1040</v>
      </c>
    </row>
    <row r="41" spans="1:21" s="10" customFormat="1" ht="85">
      <c r="A41" s="16">
        <f t="shared" si="3"/>
        <v>37</v>
      </c>
      <c r="B41" s="17" t="s">
        <v>1041</v>
      </c>
      <c r="C41" s="18" t="s">
        <v>1042</v>
      </c>
      <c r="D41" s="16" t="s">
        <v>963</v>
      </c>
      <c r="E41" s="16">
        <v>500</v>
      </c>
      <c r="F41" s="21" t="s">
        <v>558</v>
      </c>
      <c r="G41" s="16" t="s">
        <v>195</v>
      </c>
      <c r="H41" s="23" t="s">
        <v>99</v>
      </c>
      <c r="I41" s="16">
        <v>8</v>
      </c>
      <c r="J41" s="16">
        <v>0</v>
      </c>
      <c r="K41" s="16">
        <v>1</v>
      </c>
      <c r="L41" s="23">
        <v>0</v>
      </c>
      <c r="M41" s="23">
        <v>0</v>
      </c>
      <c r="N41" s="25">
        <v>0</v>
      </c>
      <c r="O41" s="25" t="s">
        <v>80</v>
      </c>
      <c r="P41" s="23" t="s">
        <v>119</v>
      </c>
      <c r="Q41" s="25" t="s">
        <v>80</v>
      </c>
      <c r="R41" s="25" t="s">
        <v>80</v>
      </c>
      <c r="S41" s="29" t="s">
        <v>83</v>
      </c>
      <c r="T41" s="30" t="s">
        <v>84</v>
      </c>
      <c r="U41" s="34" t="s">
        <v>1043</v>
      </c>
    </row>
    <row r="42" spans="1:21" s="10" customFormat="1" ht="136">
      <c r="A42" s="16">
        <f t="shared" si="3"/>
        <v>38</v>
      </c>
      <c r="B42" s="17" t="s">
        <v>1044</v>
      </c>
      <c r="C42" s="18" t="s">
        <v>1045</v>
      </c>
      <c r="D42" s="16" t="s">
        <v>76</v>
      </c>
      <c r="E42" s="16">
        <v>0</v>
      </c>
      <c r="F42" s="21" t="s">
        <v>558</v>
      </c>
      <c r="G42" s="16" t="s">
        <v>195</v>
      </c>
      <c r="H42" s="23" t="s">
        <v>99</v>
      </c>
      <c r="I42" s="16">
        <v>8</v>
      </c>
      <c r="J42" s="16">
        <v>0</v>
      </c>
      <c r="K42" s="16">
        <v>1</v>
      </c>
      <c r="L42" s="23">
        <v>0</v>
      </c>
      <c r="M42" s="23">
        <v>0</v>
      </c>
      <c r="N42" s="25">
        <v>0</v>
      </c>
      <c r="O42" s="25" t="s">
        <v>80</v>
      </c>
      <c r="P42" s="23" t="s">
        <v>81</v>
      </c>
      <c r="Q42" s="25" t="s">
        <v>80</v>
      </c>
      <c r="R42" s="25" t="s">
        <v>80</v>
      </c>
      <c r="S42" s="29" t="s">
        <v>83</v>
      </c>
      <c r="T42" s="30" t="s">
        <v>84</v>
      </c>
      <c r="U42" s="34" t="s">
        <v>1046</v>
      </c>
    </row>
    <row r="43" spans="1:21" s="10" customFormat="1" ht="102">
      <c r="A43" s="36">
        <f t="shared" si="3"/>
        <v>39</v>
      </c>
      <c r="B43" s="37" t="s">
        <v>1047</v>
      </c>
      <c r="C43" s="38" t="s">
        <v>1048</v>
      </c>
      <c r="D43" s="36" t="s">
        <v>76</v>
      </c>
      <c r="E43" s="36">
        <v>0</v>
      </c>
      <c r="F43" s="39" t="s">
        <v>558</v>
      </c>
      <c r="G43" s="36" t="s">
        <v>195</v>
      </c>
      <c r="H43" s="40" t="s">
        <v>99</v>
      </c>
      <c r="I43" s="36">
        <v>8</v>
      </c>
      <c r="J43" s="36">
        <v>0</v>
      </c>
      <c r="K43" s="36">
        <v>1</v>
      </c>
      <c r="L43" s="40">
        <v>0</v>
      </c>
      <c r="M43" s="40">
        <v>0</v>
      </c>
      <c r="N43" s="41">
        <v>0</v>
      </c>
      <c r="O43" s="41" t="s">
        <v>80</v>
      </c>
      <c r="P43" s="40" t="s">
        <v>81</v>
      </c>
      <c r="Q43" s="41" t="s">
        <v>80</v>
      </c>
      <c r="R43" s="41" t="s">
        <v>80</v>
      </c>
      <c r="S43" s="42" t="s">
        <v>83</v>
      </c>
      <c r="T43" s="43" t="s">
        <v>84</v>
      </c>
      <c r="U43" s="44" t="s">
        <v>1049</v>
      </c>
    </row>
  </sheetData>
  <sheetProtection formatCells="0" insertHyperlinks="0" autoFilter="0"/>
  <autoFilter ref="A2:U43" xr:uid="{00000000-0009-0000-0000-000008000000}"/>
  <dataValidations count="2">
    <dataValidation type="list" errorStyle="information" allowBlank="1" showErrorMessage="1" errorTitle="错误提示" error="请输入下拉列表中的一个值" sqref="S4:S43" xr:uid="{00000000-0002-0000-0800-000000000000}">
      <formula1>"RAM, ROM, FLASH, EEPROM"</formula1>
    </dataValidation>
    <dataValidation type="list" errorStyle="information" allowBlank="1" showErrorMessage="1" errorTitle="错误提示" error="请输入下拉列表中的一个值" sqref="T4:T43" xr:uid="{00000000-0002-0000-0800-000001000000}">
      <formula1>"FixedInfo, ProductCfg, CustomerCfg, OperateData, RideData, NA"</formula1>
    </dataValidation>
  </dataValidations>
  <pageMargins left="0.70866141732283505" right="0.70866141732283505" top="0.74803149606299202" bottom="0.74803149606299202" header="0.31496062992126" footer="0.31496062992126"/>
  <pageSetup paperSize="9" scale="35" fitToHeight="0" orientation="landscape"/>
  <headerFooter>
    <oddHeader>&amp;R&amp;G</oddHeader>
  </headerFooter>
  <legacyDrawingHF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E10"/>
  <sheetViews>
    <sheetView showGridLines="0" view="pageLayout" zoomScaleNormal="100" workbookViewId="0">
      <selection activeCell="C6" sqref="C6"/>
    </sheetView>
  </sheetViews>
  <sheetFormatPr baseColWidth="10" defaultColWidth="14" defaultRowHeight="16"/>
  <cols>
    <col min="1" max="1" width="4" style="1" customWidth="1"/>
    <col min="2" max="2" width="13" style="1" customWidth="1"/>
    <col min="3" max="3" width="63.19921875" style="1" customWidth="1"/>
    <col min="4" max="5" width="13" style="1" customWidth="1"/>
    <col min="6" max="16384" width="14" style="1"/>
  </cols>
  <sheetData>
    <row r="1" spans="1:5" customFormat="1" ht="29.25" customHeight="1">
      <c r="B1" s="150" t="s">
        <v>1050</v>
      </c>
      <c r="C1" s="150"/>
      <c r="D1" s="150"/>
      <c r="E1" s="150"/>
    </row>
    <row r="2" spans="1:5" customFormat="1" ht="29.25" customHeight="1">
      <c r="A2" s="2"/>
      <c r="B2" s="3" t="s">
        <v>1051</v>
      </c>
      <c r="C2" s="3" t="s">
        <v>4</v>
      </c>
      <c r="D2" s="4" t="s">
        <v>1052</v>
      </c>
      <c r="E2" s="3" t="s">
        <v>1053</v>
      </c>
    </row>
    <row r="3" spans="1:5" customFormat="1" ht="29.25" customHeight="1">
      <c r="B3" s="5" t="s">
        <v>1054</v>
      </c>
      <c r="C3" s="6" t="s">
        <v>1055</v>
      </c>
      <c r="D3" s="5" t="s">
        <v>1056</v>
      </c>
      <c r="E3" s="8">
        <v>45260</v>
      </c>
    </row>
    <row r="4" spans="1:5" customFormat="1" ht="29.25" customHeight="1">
      <c r="B4" s="5" t="s">
        <v>1057</v>
      </c>
      <c r="C4" s="6" t="s">
        <v>1058</v>
      </c>
      <c r="D4" s="5" t="s">
        <v>1056</v>
      </c>
      <c r="E4" s="8">
        <v>45389</v>
      </c>
    </row>
    <row r="5" spans="1:5" customFormat="1" ht="289">
      <c r="B5" s="5" t="s">
        <v>1059</v>
      </c>
      <c r="C5" s="7" t="s">
        <v>1060</v>
      </c>
      <c r="D5" s="5" t="s">
        <v>1056</v>
      </c>
      <c r="E5" s="8">
        <v>45720</v>
      </c>
    </row>
    <row r="6" spans="1:5" customFormat="1" ht="29.25" customHeight="1">
      <c r="B6" s="5" t="s">
        <v>1061</v>
      </c>
      <c r="C6" s="6" t="s">
        <v>1062</v>
      </c>
      <c r="D6" s="5" t="s">
        <v>1056</v>
      </c>
      <c r="E6" s="8">
        <v>45811</v>
      </c>
    </row>
    <row r="7" spans="1:5" customFormat="1" ht="29.25" customHeight="1">
      <c r="B7" s="5" t="s">
        <v>1063</v>
      </c>
      <c r="C7" s="6" t="s">
        <v>1064</v>
      </c>
      <c r="D7" s="5" t="s">
        <v>1056</v>
      </c>
      <c r="E7" s="8">
        <v>45863</v>
      </c>
    </row>
    <row r="8" spans="1:5" customFormat="1" ht="50.75" customHeight="1">
      <c r="B8" s="5" t="s">
        <v>1065</v>
      </c>
      <c r="C8" s="7" t="s">
        <v>1066</v>
      </c>
      <c r="D8" s="5" t="s">
        <v>1056</v>
      </c>
      <c r="E8" s="8">
        <v>45913</v>
      </c>
    </row>
    <row r="9" spans="1:5" customFormat="1" ht="29.25" customHeight="1">
      <c r="B9" s="5" t="s">
        <v>1067</v>
      </c>
      <c r="C9" s="6" t="s">
        <v>1068</v>
      </c>
      <c r="D9" s="5" t="s">
        <v>1056</v>
      </c>
      <c r="E9" s="8">
        <v>45964</v>
      </c>
    </row>
    <row r="10" spans="1:5" customFormat="1" ht="29.25" customHeight="1">
      <c r="B10" s="5"/>
      <c r="C10" s="6"/>
      <c r="D10" s="5"/>
      <c r="E10" s="5"/>
    </row>
  </sheetData>
  <sheetProtection formatCells="0" insertHyperlinks="0" autoFilter="0"/>
  <mergeCells count="1">
    <mergeCell ref="B1:E1"/>
  </mergeCells>
  <pageMargins left="0.7" right="0.7" top="0.75" bottom="0.75" header="0.3" footer="0.3"/>
  <pageSetup paperSize="9" scale="93" fitToHeight="0" orientation="portrait"/>
  <headerFooter>
    <oddHeader>&amp;R&amp;G</oddHead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2"/>
  <pixelatorList sheetStid="3"/>
  <pixelatorList sheetStid="4"/>
  <pixelatorList sheetStid="5"/>
  <pixelatorList sheetStid="6"/>
  <pixelatorList sheetStid="7"/>
  <pixelatorList sheetStid="14"/>
  <pixelatorList sheetStid="9"/>
  <pixelatorList sheetStid="16"/>
  <pixelatorList sheetStid="10"/>
  <pixelatorList sheetStid="17"/>
</pixelators>
</file>

<file path=customXml/item2.xml><?xml version="1.0" encoding="utf-8"?>
<woProps xmlns="https://web.wps.cn/et/2018/main" xmlns:s="http://schemas.openxmlformats.org/spreadsheetml/2006/main">
  <woSheetsProps>
    <woSheetProps sheetStid="2" interlineOnOff="0" interlineColor="14542833"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sProps>
  <woBookProps>
    <bookSettings fileId="" isFilterShared="1" coreConquerUserId="" isAutoUpdatePaused="0" filterType="user"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8.1_OverView</vt:lpstr>
      <vt:lpstr>8.2_NamingRule</vt:lpstr>
      <vt:lpstr>8.3_GEN</vt:lpstr>
      <vt:lpstr>8.4_MC</vt:lpstr>
      <vt:lpstr>8.5_HMI</vt:lpstr>
      <vt:lpstr>8.6_BMS</vt:lpstr>
      <vt:lpstr>8.7_IOT</vt:lpstr>
      <vt:lpstr>8.7_DBX</vt:lpstr>
      <vt:lpstr>8.8_EngineerTest</vt:lpstr>
      <vt:lpstr>History</vt:lpstr>
      <vt:lpstr>'8.3_GEN'!Print_Titles</vt:lpstr>
      <vt:lpstr>'8.8_EngineerTest'!Print_Titles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Tsao Tan</cp:lastModifiedBy>
  <cp:lastPrinted>2024-01-14T02:37:00Z</cp:lastPrinted>
  <dcterms:created xsi:type="dcterms:W3CDTF">2024-01-11T18:13:00Z</dcterms:created>
  <dcterms:modified xsi:type="dcterms:W3CDTF">2025-11-12T12:56:34Z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