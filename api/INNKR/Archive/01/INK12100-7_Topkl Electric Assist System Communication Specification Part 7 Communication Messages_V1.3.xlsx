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1.xml" ContentType="application/xml"/>
  <Override PartName="/customXml/itemProps1.xml" ContentType="application/vnd.openxmlformats-officedocument.customXmlProperties+xml"/>
  <Override PartName="/customXml/item2.xml" ContentType="application/xml"/>
  <Override PartName="/customXml/_rels/item2.xml.rels" ContentType="application/vnd.openxmlformats-package.relationships+xml"/>
  <Override PartName="/customXml/_rels/item1.xml.rels" ContentType="application/vnd.openxmlformats-package.relationships+xml"/>
  <Override PartName="/customXml/itemProps2.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5"/>
  </bookViews>
  <sheets>
    <sheet name="01_OverView" sheetId="1" state="visible" r:id="rId3"/>
    <sheet name="02_NamingRule" sheetId="2" state="visible" r:id="rId4"/>
    <sheet name="03_NodeAddress" sheetId="3" state="visible" r:id="rId5"/>
    <sheet name="04_MessageID" sheetId="4" state="visible" r:id="rId6"/>
    <sheet name="05_CommunicationList" sheetId="5" state="visible" r:id="rId7"/>
    <sheet name="06_CommunicationMatrix" sheetId="6" state="visible" r:id="rId8"/>
    <sheet name="10_History" sheetId="7" state="visible" r:id="rId9"/>
  </sheets>
  <definedNames>
    <definedName function="false" hidden="true" localSheetId="4" name="_xlnm._FilterDatabase" vbProcedure="false">05_CommunicationList!$A$2:$U$29</definedName>
    <definedName function="false" hidden="false" localSheetId="5" name="_xlnm.Print_Titles" vbProcedure="false">06_CommunicationMatrix!$2:$3</definedName>
  </definedName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<sst xmlns="http://schemas.openxmlformats.org/spreadsheetml/2006/main" count="1550" uniqueCount="574">
  <si>
    <t xml:space="preserve">INNKR EPAC System Communication Standard</t>
  </si>
  <si>
    <t xml:space="preserve">- Part 7: Communication Messages V1.1</t>
  </si>
  <si>
    <t xml:space="preserve">7.1 Overview</t>
  </si>
  <si>
    <t xml:space="preserve">Sheet</t>
  </si>
  <si>
    <t xml:space="preserve">Description</t>
  </si>
  <si>
    <t xml:space="preserve">01_OverView</t>
  </si>
  <si>
    <t xml:space="preserve">List all sheet here and give and overview of this file.</t>
  </si>
  <si>
    <t xml:space="preserve">02_NamingRule</t>
  </si>
  <si>
    <t xml:space="preserve">Naming rule of messages and signals name</t>
  </si>
  <si>
    <t xml:space="preserve">03_NodeAddress</t>
  </si>
  <si>
    <t xml:space="preserve">Node address allocation of the network</t>
  </si>
  <si>
    <t xml:space="preserve">04_MessageID</t>
  </si>
  <si>
    <t xml:space="preserve">Message allocation of the network. The message ID here is for all kinds of network in this system, not only CAN bus.</t>
  </si>
  <si>
    <t xml:space="preserve">05_CommunicationList</t>
  </si>
  <si>
    <t xml:space="preserve">Message list for EPAC normal communicaiton. only list the message ID as an overview. (not include diagnostic messages)</t>
  </si>
  <si>
    <t xml:space="preserve">06_CommunicationMatrix</t>
  </si>
  <si>
    <t xml:space="preserve">Message martix for EPAC normal communicaiton with detailed signal mapping.</t>
  </si>
  <si>
    <t xml:space="preserve">10_History</t>
  </si>
  <si>
    <t xml:space="preserve">Document reversion record</t>
  </si>
  <si>
    <t xml:space="preserve">7.2 Naming Rule</t>
  </si>
  <si>
    <t xml:space="preserve">Message and Signal Description</t>
  </si>
  <si>
    <t xml:space="preserve">Message Naming Rule</t>
  </si>
  <si>
    <t xml:space="preserve">Message Name Composition</t>
  </si>
  <si>
    <t xml:space="preserve">Message Type + Sender Node + Message ID + Message Function type + Message Function</t>
  </si>
  <si>
    <t xml:space="preserve">Message Type</t>
  </si>
  <si>
    <t xml:space="preserve">CM_</t>
  </si>
  <si>
    <t xml:space="preserve">Communication Message</t>
  </si>
  <si>
    <t xml:space="preserve">DM_</t>
  </si>
  <si>
    <t xml:space="preserve">Diagnostic Message</t>
  </si>
  <si>
    <t xml:space="preserve">Sender Node</t>
  </si>
  <si>
    <t xml:space="preserve">GEN_</t>
  </si>
  <si>
    <t xml:space="preserve">Gerneral, this kind of message canbe send by every node.</t>
  </si>
  <si>
    <t xml:space="preserve">HMI_</t>
  </si>
  <si>
    <t xml:space="preserve">Display / Button / BCU</t>
  </si>
  <si>
    <t xml:space="preserve">MC_</t>
  </si>
  <si>
    <t xml:space="preserve">Motor Controller</t>
  </si>
  <si>
    <t xml:space="preserve">BMS_</t>
  </si>
  <si>
    <t xml:space="preserve">Battery Management System</t>
  </si>
  <si>
    <t xml:space="preserve">OBC_</t>
  </si>
  <si>
    <t xml:space="preserve">Charger / On Board Charger</t>
  </si>
  <si>
    <t xml:space="preserve">IOT_</t>
  </si>
  <si>
    <t xml:space="preserve">Internet of Things</t>
  </si>
  <si>
    <t xml:space="preserve">DBX_</t>
  </si>
  <si>
    <t xml:space="preserve">Diagnostic Box</t>
  </si>
  <si>
    <t xml:space="preserve">ABS_</t>
  </si>
  <si>
    <t xml:space="preserve">ABS</t>
  </si>
  <si>
    <t xml:space="preserve">APP_</t>
  </si>
  <si>
    <t xml:space="preserve">Phone application</t>
  </si>
  <si>
    <t xml:space="preserve">Message Type abbreviation</t>
  </si>
  <si>
    <t xml:space="preserve">INF_</t>
  </si>
  <si>
    <t xml:space="preserve">Information
ECU information which can not be changed.
eg: Serial number, Product Module, Software version, Hardware version and so on.</t>
  </si>
  <si>
    <t xml:space="preserve">CFG_</t>
  </si>
  <si>
    <t xml:space="preserve">Configuration
ECU information which can be configured.
eg: Wheel size, Bike speed limitation, Unit type and so on.</t>
  </si>
  <si>
    <t xml:space="preserve">MNT_</t>
  </si>
  <si>
    <t xml:space="preserve">Monitor
Realtime information which only for monit.
eg: Realtime cadence, Realtime torque, Realtime Bike speed and so on.</t>
  </si>
  <si>
    <t xml:space="preserve">CTL_</t>
  </si>
  <si>
    <t xml:space="preserve">Control
Messages which used for eBike system control.
eg: Assistance level control, Light control and so on.</t>
  </si>
  <si>
    <t xml:space="preserve">Signal Naming Rule</t>
  </si>
  <si>
    <t xml:space="preserve">Signal Name Composition</t>
  </si>
  <si>
    <t xml:space="preserve">SIG + Signal Function + Signal Unit</t>
  </si>
  <si>
    <t xml:space="preserve">7.3 Node Address Allocation</t>
  </si>
  <si>
    <t xml:space="preserve">Device Type</t>
  </si>
  <si>
    <t xml:space="preserve">Device</t>
  </si>
  <si>
    <t xml:space="preserve">Address</t>
  </si>
  <si>
    <t xml:space="preserve">Comment</t>
  </si>
  <si>
    <t xml:space="preserve">MC</t>
  </si>
  <si>
    <t xml:space="preserve">0x10</t>
  </si>
  <si>
    <t xml:space="preserve">Address for motor controller</t>
  </si>
  <si>
    <t xml:space="preserve">HMI</t>
  </si>
  <si>
    <t xml:space="preserve">Display / BCU</t>
  </si>
  <si>
    <t xml:space="preserve">0x20</t>
  </si>
  <si>
    <t xml:space="preserve">Address for Display / BCU (Bike system control unit)</t>
  </si>
  <si>
    <t xml:space="preserve">Extend Scream</t>
  </si>
  <si>
    <t xml:space="preserve">0x21 ~ 0x25</t>
  </si>
  <si>
    <t xml:space="preserve">Address for Extend Scream
Extend scream used to show information only</t>
  </si>
  <si>
    <t xml:space="preserve">Extend KeyBoard</t>
  </si>
  <si>
    <t xml:space="preserve">0x26 ~ 0x28</t>
  </si>
  <si>
    <t xml:space="preserve">Address for Extend Keyboard</t>
  </si>
  <si>
    <t xml:space="preserve">BMS</t>
  </si>
  <si>
    <t xml:space="preserve">Main Battery</t>
  </si>
  <si>
    <t xml:space="preserve">0x30</t>
  </si>
  <si>
    <t xml:space="preserve">Address for Main Battery</t>
  </si>
  <si>
    <t xml:space="preserve">Extend Battery</t>
  </si>
  <si>
    <t xml:space="preserve">0x31 ~ 0x34</t>
  </si>
  <si>
    <t xml:space="preserve">Address for Extend Battery</t>
  </si>
  <si>
    <t xml:space="preserve">IOT</t>
  </si>
  <si>
    <t xml:space="preserve">iBox</t>
  </si>
  <si>
    <t xml:space="preserve">0x40</t>
  </si>
  <si>
    <t xml:space="preserve">Address for 4G IOT module</t>
  </si>
  <si>
    <t xml:space="preserve">iBLE</t>
  </si>
  <si>
    <t xml:space="preserve">0x41</t>
  </si>
  <si>
    <t xml:space="preserve">Address for BLE module</t>
  </si>
  <si>
    <t xml:space="preserve">APP</t>
  </si>
  <si>
    <t xml:space="preserve">0x42</t>
  </si>
  <si>
    <t xml:space="preserve">Address for smart phone APP</t>
  </si>
  <si>
    <t xml:space="preserve">Cloud</t>
  </si>
  <si>
    <t xml:space="preserve">0x43</t>
  </si>
  <si>
    <t xml:space="preserve">Address for Cloud</t>
  </si>
  <si>
    <t xml:space="preserve">Option Device</t>
  </si>
  <si>
    <t xml:space="preserve">Smart Lock</t>
  </si>
  <si>
    <t xml:space="preserve">0x50</t>
  </si>
  <si>
    <t xml:space="preserve">Address for ebike smart lock</t>
  </si>
  <si>
    <t xml:space="preserve">Gate Way</t>
  </si>
  <si>
    <t xml:space="preserve">0x51</t>
  </si>
  <si>
    <t xml:space="preserve">Address for gate way</t>
  </si>
  <si>
    <t xml:space="preserve">Sensor</t>
  </si>
  <si>
    <t xml:space="preserve">Torque Sensor</t>
  </si>
  <si>
    <t xml:space="preserve">0x60</t>
  </si>
  <si>
    <t xml:space="preserve">Address for pedal torque sensor</t>
  </si>
  <si>
    <t xml:space="preserve">OBC</t>
  </si>
  <si>
    <t xml:space="preserve">Charger / OBC</t>
  </si>
  <si>
    <t xml:space="preserve">0xE0</t>
  </si>
  <si>
    <t xml:space="preserve">Address for Charger / OBC</t>
  </si>
  <si>
    <t xml:space="preserve">Diagnostic</t>
  </si>
  <si>
    <t xml:space="preserve">Dealer Portal</t>
  </si>
  <si>
    <t xml:space="preserve">0xF0</t>
  </si>
  <si>
    <t xml:space="preserve">Address for DealerPortal</t>
  </si>
  <si>
    <t xml:space="preserve">Diag Box</t>
  </si>
  <si>
    <t xml:space="preserve">0xF1</t>
  </si>
  <si>
    <t xml:space="preserve">Address for Diagbox</t>
  </si>
  <si>
    <t xml:space="preserve">Broadcast</t>
  </si>
  <si>
    <t xml:space="preserve">-</t>
  </si>
  <si>
    <t xml:space="preserve">0xFF</t>
  </si>
  <si>
    <t xml:space="preserve">Broadcast address, Every node is able to receive message with Destination addres 0xFF</t>
  </si>
  <si>
    <t xml:space="preserve">7.4 Message IDs Allocation</t>
  </si>
  <si>
    <t xml:space="preserve">Range of ID value</t>
  </si>
  <si>
    <t xml:space="preserve">Number of IDs</t>
  </si>
  <si>
    <t xml:space="preserve">Start ID</t>
  </si>
  <si>
    <t xml:space="preserve">End ID</t>
  </si>
  <si>
    <t xml:space="preserve">Communciation Message IDs</t>
  </si>
  <si>
    <t xml:space="preserve">General</t>
  </si>
  <si>
    <t xml:space="preserve">0x000</t>
  </si>
  <si>
    <t xml:space="preserve">0x00F</t>
  </si>
  <si>
    <t xml:space="preserve">Message IDs for General Normal communication</t>
  </si>
  <si>
    <t xml:space="preserve">0x010</t>
  </si>
  <si>
    <t xml:space="preserve">0x01F</t>
  </si>
  <si>
    <t xml:space="preserve">Message IDs for MC Normal communication</t>
  </si>
  <si>
    <t xml:space="preserve">0x020</t>
  </si>
  <si>
    <t xml:space="preserve">0x02F</t>
  </si>
  <si>
    <t xml:space="preserve">Message IDs for HMI Normal communication</t>
  </si>
  <si>
    <t xml:space="preserve">0x030</t>
  </si>
  <si>
    <t xml:space="preserve">0x03F</t>
  </si>
  <si>
    <t xml:space="preserve">Message IDs for BMS Normal communication</t>
  </si>
  <si>
    <t xml:space="preserve">0x040</t>
  </si>
  <si>
    <t xml:space="preserve">0x04F</t>
  </si>
  <si>
    <t xml:space="preserve">Message IDs for iBox Normal communication</t>
  </si>
  <si>
    <t xml:space="preserve">Message IDs for iBLE Normal communication</t>
  </si>
  <si>
    <t xml:space="preserve">Message IDs for APP Normal communication</t>
  </si>
  <si>
    <t xml:space="preserve">Message IDs for Cloud communication</t>
  </si>
  <si>
    <t xml:space="preserve">Reserved</t>
  </si>
  <si>
    <t xml:space="preserve">0x050</t>
  </si>
  <si>
    <t xml:space="preserve">0x0DF</t>
  </si>
  <si>
    <t xml:space="preserve">Reserved IDs</t>
  </si>
  <si>
    <t xml:space="preserve">0x0E0</t>
  </si>
  <si>
    <t xml:space="preserve">0x0EF</t>
  </si>
  <si>
    <t xml:space="preserve">Message IDs for Charger / OBC Normal communication</t>
  </si>
  <si>
    <t xml:space="preserve">Diag Portal</t>
  </si>
  <si>
    <t xml:space="preserve">0x0F0</t>
  </si>
  <si>
    <t xml:space="preserve">0x0F7</t>
  </si>
  <si>
    <t xml:space="preserve">Message IDs for Diag Portal Normal communication</t>
  </si>
  <si>
    <t xml:space="preserve">0x0F8</t>
  </si>
  <si>
    <t xml:space="preserve">0x0FF</t>
  </si>
  <si>
    <t xml:space="preserve">Message IDs for DiagBox Normal communication</t>
  </si>
  <si>
    <t xml:space="preserve">Total Communication IDs</t>
  </si>
  <si>
    <t xml:space="preserve">Message IDs Reserved for Normal communication</t>
  </si>
  <si>
    <t xml:space="preserve">Diagnostic Message IDs</t>
  </si>
  <si>
    <t xml:space="preserve">Gnneral</t>
  </si>
  <si>
    <t xml:space="preserve">0x100</t>
  </si>
  <si>
    <t xml:space="preserve">0x13F</t>
  </si>
  <si>
    <t xml:space="preserve">Message IDs for general diagnostic</t>
  </si>
  <si>
    <t xml:space="preserve">0x140</t>
  </si>
  <si>
    <t xml:space="preserve">0x2BF</t>
  </si>
  <si>
    <t xml:space="preserve">Message IDs for Motor Controller diagnostic</t>
  </si>
  <si>
    <t xml:space="preserve">0x2C0</t>
  </si>
  <si>
    <t xml:space="preserve">0x2FF</t>
  </si>
  <si>
    <t xml:space="preserve">Message IDs for Display / BCU / Extend Scream / Extend KeyBoard  diagnostic</t>
  </si>
  <si>
    <t xml:space="preserve">0x300</t>
  </si>
  <si>
    <t xml:space="preserve">0x37F</t>
  </si>
  <si>
    <t xml:space="preserve">Message IDs for Main Battery / Extend Battery diagnostic</t>
  </si>
  <si>
    <t xml:space="preserve">Reserve</t>
  </si>
  <si>
    <t xml:space="preserve">0x380</t>
  </si>
  <si>
    <t xml:space="preserve">0x3FF</t>
  </si>
  <si>
    <t xml:space="preserve">0x400</t>
  </si>
  <si>
    <t xml:space="preserve">0x43F</t>
  </si>
  <si>
    <t xml:space="preserve">Message IDs for iBox diagnostic
iBox is IOT modules</t>
  </si>
  <si>
    <t xml:space="preserve">0x440</t>
  </si>
  <si>
    <t xml:space="preserve">0x47F</t>
  </si>
  <si>
    <t xml:space="preserve">Message IDs for iBLE diagnostic
iBLE is IOT modules</t>
  </si>
  <si>
    <t xml:space="preserve">0x480</t>
  </si>
  <si>
    <t xml:space="preserve">0x6FF</t>
  </si>
  <si>
    <t xml:space="preserve">0x700</t>
  </si>
  <si>
    <t xml:space="preserve">0x73F</t>
  </si>
  <si>
    <t xml:space="preserve">Message IDs for Charger / OBC diagnostic</t>
  </si>
  <si>
    <t xml:space="preserve">0x740</t>
  </si>
  <si>
    <t xml:space="preserve">0x77F</t>
  </si>
  <si>
    <t xml:space="preserve">Message IDs for DiagBox diagnostic</t>
  </si>
  <si>
    <t xml:space="preserve">0x780</t>
  </si>
  <si>
    <t xml:space="preserve">0x7FF</t>
  </si>
  <si>
    <t xml:space="preserve">Total Diagnostic IDs</t>
  </si>
  <si>
    <t xml:space="preserve">Summary of ID Allocation</t>
  </si>
  <si>
    <t xml:space="preserve">ID Type</t>
  </si>
  <si>
    <t xml:space="preserve">Allocated IDs</t>
  </si>
  <si>
    <t xml:space="preserve">Total IDs</t>
  </si>
  <si>
    <t xml:space="preserve">7.5 CAN Communicaiton List</t>
  </si>
  <si>
    <t xml:space="preserve">NO.</t>
  </si>
  <si>
    <t xml:space="preserve">Message ID</t>
  </si>
  <si>
    <t xml:space="preserve">Message Name</t>
  </si>
  <si>
    <t xml:space="preserve">Send Type</t>
  </si>
  <si>
    <t xml:space="preserve">Message Periodic (ms)</t>
  </si>
  <si>
    <t xml:space="preserve">Sender</t>
  </si>
  <si>
    <t xml:space="preserve">Receiver</t>
  </si>
  <si>
    <t xml:space="preserve">Data Type</t>
  </si>
  <si>
    <t xml:space="preserve">Byte Len</t>
  </si>
  <si>
    <t xml:space="preserve">Offset</t>
  </si>
  <si>
    <t xml:space="preserve">Factor</t>
  </si>
  <si>
    <t xml:space="preserve">Min</t>
  </si>
  <si>
    <t xml:space="preserve">Max</t>
  </si>
  <si>
    <t xml:space="preserve">Default</t>
  </si>
  <si>
    <t xml:space="preserve">Unit</t>
  </si>
  <si>
    <t xml:space="preserve">Access Type</t>
  </si>
  <si>
    <t xml:space="preserve">Security Level
(Read)</t>
  </si>
  <si>
    <t xml:space="preserve">Security Level
(Write)</t>
  </si>
  <si>
    <t xml:space="preserve">Memorize</t>
  </si>
  <si>
    <t xml:space="preserve">Memorize Partition</t>
  </si>
  <si>
    <t xml:space="preserve">General (0x001 ~ 0x00F)</t>
  </si>
  <si>
    <t xml:space="preserve">0x001</t>
  </si>
  <si>
    <t xml:space="preserve">CM_GEN001_CTL_SystemStatus</t>
  </si>
  <si>
    <t xml:space="preserve">PERIODIC</t>
  </si>
  <si>
    <t xml:space="preserve">ALL</t>
  </si>
  <si>
    <t xml:space="preserve">hex</t>
  </si>
  <si>
    <t xml:space="preserve">RW</t>
  </si>
  <si>
    <t xml:space="preserve">NA</t>
  </si>
  <si>
    <t xml:space="preserve">RAM</t>
  </si>
  <si>
    <t xml:space="preserve">Power / Netork management message</t>
  </si>
  <si>
    <t xml:space="preserve">0x003</t>
  </si>
  <si>
    <t xml:space="preserve">CM_GEN003_MNT_ErrorCode</t>
  </si>
  <si>
    <t xml:space="preserve">ECU Error report message, only send when error occurs</t>
  </si>
  <si>
    <t xml:space="preserve">0x004</t>
  </si>
  <si>
    <t xml:space="preserve">CM_GEN004_CTL_SystemLocked</t>
  </si>
  <si>
    <t xml:space="preserve">Lock system control</t>
  </si>
  <si>
    <t xml:space="preserve">0x005</t>
  </si>
  <si>
    <t xml:space="preserve">CM_GEN005_CTL_BikeAlarm</t>
  </si>
  <si>
    <t xml:space="preserve">PERIODIC_TIMEOUT</t>
  </si>
  <si>
    <t xml:space="preserve">Bike alam control</t>
  </si>
  <si>
    <t xml:space="preserve">MC (0x010 ~ 0x01F)</t>
  </si>
  <si>
    <t xml:space="preserve">CM_MC010_MNT_RideStatus</t>
  </si>
  <si>
    <t xml:space="preserve">Realtime ride information, calculated by controller</t>
  </si>
  <si>
    <t xml:space="preserve">0x011</t>
  </si>
  <si>
    <t xml:space="preserve">CM_MC011_MNT_BatteryStatus</t>
  </si>
  <si>
    <t xml:space="preserve">Battery status, calculated by controller</t>
  </si>
  <si>
    <t xml:space="preserve">0x012</t>
  </si>
  <si>
    <t xml:space="preserve">CM_MC012_MNT_PowerStatus</t>
  </si>
  <si>
    <t xml:space="preserve">Power status / value, calculated by controller</t>
  </si>
  <si>
    <t xml:space="preserve">0x013</t>
  </si>
  <si>
    <t xml:space="preserve">CM_MC013_MNT_DistanceInfo</t>
  </si>
  <si>
    <t xml:space="preserve">Ride distance informationm calculated by controller</t>
  </si>
  <si>
    <t xml:space="preserve">0x014</t>
  </si>
  <si>
    <t xml:space="preserve">CM_MC014_MNT_SpeedInfo</t>
  </si>
  <si>
    <t xml:space="preserve">Speed information, calculated by controller</t>
  </si>
  <si>
    <t xml:space="preserve">0x015</t>
  </si>
  <si>
    <t xml:space="preserve">CM_MC015_MNT_BikeStatus</t>
  </si>
  <si>
    <t xml:space="preserve">Bike status, include service status</t>
  </si>
  <si>
    <t xml:space="preserve">0x016</t>
  </si>
  <si>
    <t xml:space="preserve">CM_MC016_MNT_EnergyConspt</t>
  </si>
  <si>
    <t xml:space="preserve">Human Energy consumption during ride</t>
  </si>
  <si>
    <t xml:space="preserve">0x017</t>
  </si>
  <si>
    <t xml:space="preserve">CM_MC017_CFG_BikeConfig</t>
  </si>
  <si>
    <t xml:space="preserve">Bike configure parameter from controller</t>
  </si>
  <si>
    <t xml:space="preserve">0x018</t>
  </si>
  <si>
    <t xml:space="preserve">CM_MC018_CFG_HmiConfig</t>
  </si>
  <si>
    <t xml:space="preserve">HMI configure parameter from controller</t>
  </si>
  <si>
    <t xml:space="preserve">HMI / iBox / iBLE / APP (0x020 ~ 0x02F, 0x040 ~ 0x04F)</t>
  </si>
  <si>
    <t xml:space="preserve">CM_HMI020_CTL_RideControl</t>
  </si>
  <si>
    <t xml:space="preserve">MC
HMI
APP
iBLE
iBOX</t>
  </si>
  <si>
    <t xml:space="preserve">1.message for ride control, include assist level, light control.</t>
  </si>
  <si>
    <t xml:space="preserve">BMS (0x030 ~ 0x03F)</t>
  </si>
  <si>
    <t xml:space="preserve">CM_BMS030_MNT_BatteryStatus1</t>
  </si>
  <si>
    <t xml:space="preserve">Battery status parameter</t>
  </si>
  <si>
    <t xml:space="preserve">0x031</t>
  </si>
  <si>
    <t xml:space="preserve">CM_BMS031_MNT_BatteryStatus2</t>
  </si>
  <si>
    <t xml:space="preserve">0x032</t>
  </si>
  <si>
    <t xml:space="preserve">CM_BMS032_MNT_ProtectStatus</t>
  </si>
  <si>
    <t xml:space="preserve">Battery protection parameter</t>
  </si>
  <si>
    <t xml:space="preserve">0x033</t>
  </si>
  <si>
    <t xml:space="preserve">CM_BMS033_MNT_ChargeControl</t>
  </si>
  <si>
    <t xml:space="preserve">Charge control signals</t>
  </si>
  <si>
    <t xml:space="preserve">0x034</t>
  </si>
  <si>
    <t xml:space="preserve">CM_BMS034_MNT_BatteryConfig</t>
  </si>
  <si>
    <t xml:space="preserve">Battery configure parameters</t>
  </si>
  <si>
    <t xml:space="preserve">Sensor (0x060 ~ 0x06F)</t>
  </si>
  <si>
    <t xml:space="preserve">0x060</t>
  </si>
  <si>
    <t xml:space="preserve">CM_TSEN060_MNT_TorqueInfo</t>
  </si>
  <si>
    <t xml:space="preserve">TSEN</t>
  </si>
  <si>
    <t xml:space="preserve">Torque sensor inforation</t>
  </si>
  <si>
    <t xml:space="preserve">Charger / OBC (0x0E0 ~ 0x0EF)</t>
  </si>
  <si>
    <t xml:space="preserve">CM_OBC0E0_MNT_ChargeStatus</t>
  </si>
  <si>
    <t xml:space="preserve">Charging status message of Charger</t>
  </si>
  <si>
    <t xml:space="preserve">7.6 CAN Communicaiton Matrix</t>
  </si>
  <si>
    <t xml:space="preserve">Signal Name</t>
  </si>
  <si>
    <t xml:space="preserve">Bit Mapping</t>
  </si>
  <si>
    <t xml:space="preserve">Physical Meaning</t>
  </si>
  <si>
    <t xml:space="preserve">BytePos</t>
  </si>
  <si>
    <t xml:space="preserve">Bit Len</t>
  </si>
  <si>
    <t xml:space="preserve">Start Bit</t>
  </si>
  <si>
    <t xml:space="preserve">End Bit</t>
  </si>
  <si>
    <t xml:space="preserve">Message ID: 0x001
__________________
Periodic:100ms
Master node: Display</t>
  </si>
  <si>
    <t xml:space="preserve">SIG_SystemStatus</t>
  </si>
  <si>
    <t xml:space="preserve">U4</t>
  </si>
  <si>
    <t xml:space="preserve">System status, Signal meaning：
0: Standby Mode
1: Startup Mode
3: Normal Mode
2: Reserved
4~14: Reserved
15: Invalid value</t>
  </si>
  <si>
    <t xml:space="preserve">SIG_Reserve4_4</t>
  </si>
  <si>
    <t xml:space="preserve">0xF</t>
  </si>
  <si>
    <t xml:space="preserve">Reserved signal fullfill with 0xFF</t>
  </si>
  <si>
    <t xml:space="preserve">SIG_Reserve8_48</t>
  </si>
  <si>
    <t xml:space="preserve">1~6</t>
  </si>
  <si>
    <t xml:space="preserve">SIG_MsgPriority</t>
  </si>
  <si>
    <t xml:space="preserve">Priority of this message, Display is the main node.
0~10: Valid priority value
11~14: Reserved
15: Invalid value
Please refer "INK12100-4 chapter 4.2.3 Command priority" for the mechanism of this signal</t>
  </si>
  <si>
    <t xml:space="preserve">SIG_RollingCounter</t>
  </si>
  <si>
    <t xml:space="preserve">0~10: Valid rolling counter value
11~14: Reserved
15: Invalid value
Please refer "INK12100-4 chapter 3.1.2 Message rolling counter" for the mechanism of this signal</t>
  </si>
  <si>
    <t xml:space="preserve">Message ID: 0x003
__________________
Periodic: 1000ms
Only send when error occur</t>
  </si>
  <si>
    <t xml:space="preserve">SIG_ErrorCode1</t>
  </si>
  <si>
    <t xml:space="preserve">U8</t>
  </si>
  <si>
    <t xml:space="preserve">ECU error code</t>
  </si>
  <si>
    <t xml:space="preserve">SIG_ErrorCode2</t>
  </si>
  <si>
    <t xml:space="preserve">SIG_ErrorCode3</t>
  </si>
  <si>
    <t xml:space="preserve">SIG_ErrorCode4</t>
  </si>
  <si>
    <t xml:space="preserve">SIG_ErrorCode5</t>
  </si>
  <si>
    <t xml:space="preserve">SIG_ErrorCode6</t>
  </si>
  <si>
    <t xml:space="preserve">SIG_ErrorCode7</t>
  </si>
  <si>
    <t xml:space="preserve">SIG_ErrorCode8</t>
  </si>
  <si>
    <t xml:space="preserve">Message ID: 0x004
__________________
Periodic:500ms
Master node: Controller</t>
  </si>
  <si>
    <t xml:space="preserve">APP
MC</t>
  </si>
  <si>
    <t xml:space="preserve">SIG_SystemLocked</t>
  </si>
  <si>
    <t xml:space="preserve">System locked control
0: Unlock system
1: Lock system
2: Lock on going
3~254: Invalid value</t>
  </si>
  <si>
    <t xml:space="preserve">Priority of this message, Controller is the main node.
0~10: Valid priority value
11~14: Reserved
15: Invalid value
Please refer "INK12100-4 chapter 4.2.3 Command priority" for the mechanism of this signal</t>
  </si>
  <si>
    <t xml:space="preserve">Message ID: 0x005
__________________
Periodic:500ms &amp; Timeout   
Master node: APP                                                                                                                                                                                   </t>
  </si>
  <si>
    <t xml:space="preserve">SIG_BikeAlarm</t>
  </si>
  <si>
    <t xml:space="preserve">Bike alarm control
0: Bike alarm inactive
1: Bike alarm active
2~254: Reserved
3.: Invalid value</t>
  </si>
  <si>
    <t xml:space="preserve">SIG_BikeSOS</t>
  </si>
  <si>
    <t xml:space="preserve">Bike SOS control
0: Bike SOS inactive
1: Bike SOS active
2~254: Reserved
3.: Invalid value</t>
  </si>
  <si>
    <t xml:space="preserve">SIG_Reserve16_48</t>
  </si>
  <si>
    <t xml:space="preserve">2~6</t>
  </si>
  <si>
    <t xml:space="preserve">Priority of this message, APP is the main node.
0~10: Valid priority value
11~14: Reserved
15: Invalid value
Please refer "INK12100-4 chapter 4.2.3 Command priority" for the mechanism of this signal</t>
  </si>
  <si>
    <t xml:space="preserve">Controller</t>
  </si>
  <si>
    <t xml:space="preserve">Message ID: 0x010
__________________
Periodic: 100ms</t>
  </si>
  <si>
    <t xml:space="preserve">SIG_BikeSpeed_KMH</t>
  </si>
  <si>
    <t xml:space="preserve">U16</t>
  </si>
  <si>
    <t xml:space="preserve">0~1</t>
  </si>
  <si>
    <t xml:space="preserve">KM/H</t>
  </si>
  <si>
    <t xml:space="preserve">Realtime bike speed, calculated by controller
0~100: Valid bike speed
&gt;100: Invalid value</t>
  </si>
  <si>
    <t xml:space="preserve">SIG_Cadence_RPM</t>
  </si>
  <si>
    <t xml:space="preserve">RPM</t>
  </si>
  <si>
    <t xml:space="preserve">Realtime cadence, calculated by controller
0~250: Valid cadence value
251~255: Invalid value</t>
  </si>
  <si>
    <t xml:space="preserve">SIG_FootTorque_NM</t>
  </si>
  <si>
    <t xml:space="preserve">NM</t>
  </si>
  <si>
    <t xml:space="preserve">Realtime foot torque, calculated by controller
0~100: Valid torque value
101~254: Reserved
255: Invalid value</t>
  </si>
  <si>
    <t xml:space="preserve">SIG_FrontShiftPos</t>
  </si>
  <si>
    <t xml:space="preserve">Front shift position
1~3: Valid front shift position value
0, 4~15: Invalid value</t>
  </si>
  <si>
    <t xml:space="preserve">SIG_RearShiftPos</t>
  </si>
  <si>
    <t xml:space="preserve">Rear shift position
1~14: Valid rear shift position value
0, 15: Invalid value</t>
  </si>
  <si>
    <t xml:space="preserve">SIG_FrontShiftRemind</t>
  </si>
  <si>
    <t xml:space="preserve">U2</t>
  </si>
  <si>
    <t xml:space="preserve">Change front shift reminder
0: No reminder
1: Shift down reminder
2: Shift up reminder
3: Invalid value</t>
  </si>
  <si>
    <t xml:space="preserve">SIG_RearShiftRemind</t>
  </si>
  <si>
    <t xml:space="preserve">Change rear shift reminder
0: No reminder
1: Shift down reminder
2: Shift up reminder
3: Invalid value</t>
  </si>
  <si>
    <t xml:space="preserve">SIG_Reserve44_4</t>
  </si>
  <si>
    <t xml:space="preserve">SIG_ThrottleStatus</t>
  </si>
  <si>
    <t xml:space="preserve">Throttle status
0: Throttle Inacrive
1: Throttle Pre-Active
2: Throttle Hold
3: Throttle Active
4~15: Invalid value</t>
  </si>
  <si>
    <t xml:space="preserve">SIG_Reserve48_8</t>
  </si>
  <si>
    <t xml:space="preserve">SIG_Reserve56_4</t>
  </si>
  <si>
    <t xml:space="preserve">Message ID: 0x011
__________________
Periodic: 1000ms</t>
  </si>
  <si>
    <t xml:space="preserve">SIG_BatteryVoltage_V</t>
  </si>
  <si>
    <t xml:space="preserve">V</t>
  </si>
  <si>
    <t xml:space="preserve">Battery voltage measured by controller</t>
  </si>
  <si>
    <t xml:space="preserve">SIG_BatteryCurrent_A</t>
  </si>
  <si>
    <t xml:space="preserve">2~3</t>
  </si>
  <si>
    <t xml:space="preserve">A</t>
  </si>
  <si>
    <t xml:space="preserve">Battery discharge current measured by controller</t>
  </si>
  <si>
    <t xml:space="preserve">SIG_BatterySoc_PCT</t>
  </si>
  <si>
    <t xml:space="preserve">4~5</t>
  </si>
  <si>
    <t xml:space="preserve">%</t>
  </si>
  <si>
    <t xml:space="preserve">Battery SOC calculated by controller</t>
  </si>
  <si>
    <t xml:space="preserve">SIG_S_BatteryLow</t>
  </si>
  <si>
    <t xml:space="preserve">Battery  low voltage status detected based on BMS SOC and controller calculated SOC
0: Battery voltage normal
1: Battery voltage low
2: Reserved value
3: Invalid value</t>
  </si>
  <si>
    <t xml:space="preserve">SIG_Reserve50_6</t>
  </si>
  <si>
    <t xml:space="preserve">0x3F</t>
  </si>
  <si>
    <t xml:space="preserve">SIG_Reserve56_8</t>
  </si>
  <si>
    <t xml:space="preserve">Message ID: 0x012
__________________
Periodic: 500ms</t>
  </si>
  <si>
    <t xml:space="preserve">SIG_HumanPower_W</t>
  </si>
  <si>
    <t xml:space="preserve">W</t>
  </si>
  <si>
    <t xml:space="preserve">Realtime human power, calculated by controller</t>
  </si>
  <si>
    <t xml:space="preserve">SIG_AssistPower_W</t>
  </si>
  <si>
    <t xml:space="preserve">Realtime motor output power, calculated by controller</t>
  </si>
  <si>
    <t xml:space="preserve">SIG_HumanPower_PCT</t>
  </si>
  <si>
    <t xml:space="preserve">Realtime human power percentage, calculated by controller</t>
  </si>
  <si>
    <t xml:space="preserve">SIG_MotorPower_PCT</t>
  </si>
  <si>
    <t xml:space="preserve">Realtime motor output power percentage, calculated by controller</t>
  </si>
  <si>
    <t xml:space="preserve">SIG_RealTimeRange_KM</t>
  </si>
  <si>
    <t xml:space="preserve">KM</t>
  </si>
  <si>
    <t xml:space="preserve">The remain assistance distance with current assistance level by left battery capacity
0~254: Valid range value
255: Invalid value</t>
  </si>
  <si>
    <t xml:space="preserve">SIG_MaxRange_KM</t>
  </si>
  <si>
    <t xml:space="preserve">The remain maximum assistance distance with assistance level 1 by left battery capacity
0~254: Valid range value
255: Invalid value</t>
  </si>
  <si>
    <t xml:space="preserve">Message ID：0x013
__________________
Periodic: 2000ms</t>
  </si>
  <si>
    <t xml:space="preserve">SIG_ODO_KM</t>
  </si>
  <si>
    <t xml:space="preserve">U32</t>
  </si>
  <si>
    <t xml:space="preserve">0~3</t>
  </si>
  <si>
    <t xml:space="preserve">M</t>
  </si>
  <si>
    <t xml:space="preserve">Total distance of the eBike</t>
  </si>
  <si>
    <t xml:space="preserve">SIG_Trip_KM</t>
  </si>
  <si>
    <t xml:space="preserve">4~7</t>
  </si>
  <si>
    <t xml:space="preserve">Trip distance of the eBike</t>
  </si>
  <si>
    <t xml:space="preserve">Message ID：0x014
__________________
Periodic: 2000ms</t>
  </si>
  <si>
    <t xml:space="preserve">SIG_AvgSpeed_KMH</t>
  </si>
  <si>
    <t xml:space="preserve">Average bike speed during trip distance</t>
  </si>
  <si>
    <t xml:space="preserve">SIG_MaxSpeed_KMH</t>
  </si>
  <si>
    <t xml:space="preserve">Maximum bike speed during trip distance</t>
  </si>
  <si>
    <t xml:space="preserve">SIG_TripTime_S</t>
  </si>
  <si>
    <t xml:space="preserve">0xFFFFFFFF</t>
  </si>
  <si>
    <t xml:space="preserve">S</t>
  </si>
  <si>
    <t xml:space="preserve">Trip time of the ebike</t>
  </si>
  <si>
    <t xml:space="preserve">Message ID: 0x015
__________________
Periodic: 5000ms
Only send when service required</t>
  </si>
  <si>
    <t xml:space="preserve">SIG_S_ServiceRequired</t>
  </si>
  <si>
    <t xml:space="preserve">Service required signal
0: No service required
1: Service required
2: Reserved value
3: Invalid value</t>
  </si>
  <si>
    <t xml:space="preserve">SIG_Reserve2_6</t>
  </si>
  <si>
    <t xml:space="preserve">SIG_Reserve8_56</t>
  </si>
  <si>
    <t xml:space="preserve">1~7</t>
  </si>
  <si>
    <t xml:space="preserve">CM_MC016_MNT_HumanEnergyConspt</t>
  </si>
  <si>
    <t xml:space="preserve">Message ID：0x016
__________________
Periodic: 5000ms</t>
  </si>
  <si>
    <t xml:space="preserve">SIG_HumanEnergy_kcal</t>
  </si>
  <si>
    <t xml:space="preserve">kcal</t>
  </si>
  <si>
    <t xml:space="preserve">SIG_Reserve32_32</t>
  </si>
  <si>
    <t xml:space="preserve">Message ID：0x017
__________________
Periodic: 10000ms</t>
  </si>
  <si>
    <t xml:space="preserve">SIG_WheelPerimeter_MM</t>
  </si>
  <si>
    <t xml:space="preserve">mm</t>
  </si>
  <si>
    <t xml:space="preserve">Configured ebike wheel circumference</t>
  </si>
  <si>
    <t xml:space="preserve">SIG_MaxSpeedLimit_KMH</t>
  </si>
  <si>
    <t xml:space="preserve">Configured maximum bike speed limitation value</t>
  </si>
  <si>
    <t xml:space="preserve">SIG_WalkSpeedLimit_KMH</t>
  </si>
  <si>
    <t xml:space="preserve">Configured walk speed limit value</t>
  </si>
  <si>
    <t xml:space="preserve">SIG_Reserve40_24</t>
  </si>
  <si>
    <t xml:space="preserve">5~7</t>
  </si>
  <si>
    <t xml:space="preserve">Message ID：0x018
__________________
Periodic: 10000ms</t>
  </si>
  <si>
    <t xml:space="preserve">SIG_WheelSizeConfigable</t>
  </si>
  <si>
    <t xml:space="preserve">Whether wheel size of eBike can be modified by user
0: Wheel sized can not be modified by display / APP
1: Wheel sized can be modified by display / APP
2: Reserved value
3: Invalid value</t>
  </si>
  <si>
    <t xml:space="preserve">SIG_SpeedLimitConfigable</t>
  </si>
  <si>
    <t xml:space="preserve">Whether speed limit value of eBike can be modified by user
0: speed limit value can not be modified by display / APP
1: speed limit value can be modified by display / APP
2: Reserved value
3: Invalid value</t>
  </si>
  <si>
    <t xml:space="preserve">SIG_LightOperateAvriable</t>
  </si>
  <si>
    <t xml:space="preserve">Whether light function avriable
0: Light function can not be operate by display, Display load light state from controller during start up
1: Light function can be operate by display, Display load light state from controller during start up
2，3: Invalid value</t>
  </si>
  <si>
    <t xml:space="preserve">SIG_WalkAvriable</t>
  </si>
  <si>
    <t xml:space="preserve">Whether walk function avriable
0: Walk function is not available in the system
1: Walk function is  available in the system
2: Reserved value
3: Invalid value</t>
  </si>
  <si>
    <t xml:space="preserve">SIG_SmartAvriable</t>
  </si>
  <si>
    <t xml:space="preserve">Whether smart function avriable
0: Smart function is not available in the system
1: Smart function is  available in the system
2: Reserved value
3: Invalid value</t>
  </si>
  <si>
    <t xml:space="preserve">SIG_HmiUnitType</t>
  </si>
  <si>
    <t xml:space="preserve">HMI unit type, metric unit or imperial unit
0: Metric unit, km, km/h
1: Imperial unit, mail, mph
2: Reserved value
3: Invalid value</t>
  </si>
  <si>
    <t xml:space="preserve">SIG_Reserve14_4</t>
  </si>
  <si>
    <t xml:space="preserve">SIG_HmiBackLightLevel</t>
  </si>
  <si>
    <t xml:space="preserve">Display back light level
0: Display back light off
1~5: Valid display back light level
&gt;5: Invalid value</t>
  </si>
  <si>
    <t xml:space="preserve">SIG_Reserve20_4</t>
  </si>
  <si>
    <t xml:space="preserve">SIG_Reserve24_8</t>
  </si>
  <si>
    <t xml:space="preserve">SIG_WheelPerimeterMin_MM</t>
  </si>
  <si>
    <t xml:space="preserve">Minimum configable wheel size</t>
  </si>
  <si>
    <t xml:space="preserve">SIG_WheelPerimeterMax_MM</t>
  </si>
  <si>
    <t xml:space="preserve">6~7</t>
  </si>
  <si>
    <t xml:space="preserve">Maximum configable wheel size</t>
  </si>
  <si>
    <t xml:space="preserve">HMI / iBox / iBLE / APP / MC</t>
  </si>
  <si>
    <t xml:space="preserve">Message ID：0x020
__________________
Periodic: 
100ms &amp; Event
If Signal changed, send 1 aditional frame by event
MC: report status only
Master node: Display</t>
  </si>
  <si>
    <t xml:space="preserve">SIG_C_AssistLevel</t>
  </si>
  <si>
    <t xml:space="preserve">Required assist level
0: No assistance
1~5: Normal assistance level 
6~14: reseved value
15: Invalid value</t>
  </si>
  <si>
    <t xml:space="preserve">SIG_C_SmartAssist</t>
  </si>
  <si>
    <t xml:space="preserve">Required auto status
0: Smart assistance off
1: Smart assistance on
2: reseved value
3: Invalid value</t>
  </si>
  <si>
    <t xml:space="preserve">SIG_C_SubAssistLevel</t>
  </si>
  <si>
    <t xml:space="preserve">0x3</t>
  </si>
  <si>
    <t xml:space="preserve">Required sub assist level
0: Half assistance level inactive
1: Half assistance level active
2: reseved value
3: Invalid value</t>
  </si>
  <si>
    <t xml:space="preserve">SIG_C_WalkModeOn</t>
  </si>
  <si>
    <r>
      <rPr>
        <sz val="10"/>
        <color rgb="FF1F2329"/>
        <rFont val="微软雅黑"/>
        <family val="0"/>
        <charset val="134"/>
      </rPr>
      <t xml:space="preserve">Required Walk mode status
0: Walk mode off
1: Walk mode Pre-Start
2: Walk mode hold
3: Walk mode on
4~15: Invalid value
</t>
    </r>
    <r>
      <rPr>
        <b val="true"/>
        <sz val="10"/>
        <color rgb="FF1F2329"/>
        <rFont val="微软雅黑"/>
        <family val="0"/>
        <charset val="134"/>
      </rPr>
      <t xml:space="preserve">Walk function CAN only be operated by display.</t>
    </r>
  </si>
  <si>
    <t xml:space="preserve">SIG_Reserve12_4</t>
  </si>
  <si>
    <t xml:space="preserve">SIG_C_LightOn</t>
  </si>
  <si>
    <t xml:space="preserve">Front light control
0: Front Light off
1: Front Light on
2, 3: Invalid value</t>
  </si>
  <si>
    <t xml:space="preserve">SIG_C_RearLightOn</t>
  </si>
  <si>
    <t xml:space="preserve">Rear light control
0: Rear Light off
1: Rear Light on
2, 3: Invalid value</t>
  </si>
  <si>
    <t xml:space="preserve">SIG_C_LeftTurnLightOn</t>
  </si>
  <si>
    <t xml:space="preserve">Left turn light control (Left turn indicator)
0: Left turn Light off
1: Left turn Light on
2, 3: Invalid value</t>
  </si>
  <si>
    <t xml:space="preserve">SIG_C_RightTurnLightOn</t>
  </si>
  <si>
    <t xml:space="preserve">Right turn light control (Right turn indicator)
0: Right turn Light off
1: Right turn Light on
2, 3: Invalid value</t>
  </si>
  <si>
    <t xml:space="preserve">SIG_C_LightAuto</t>
  </si>
  <si>
    <t xml:space="preserve">Auto light control
0: Auto light off
1: Auto light on
2, 3: Invalid value</t>
  </si>
  <si>
    <t xml:space="preserve">SIG_Reserve26_30</t>
  </si>
  <si>
    <t xml:space="preserve">3~6</t>
  </si>
  <si>
    <t xml:space="preserve">Message ID：0x030
__________________
Periodic: 1000ms
Send with 100ms periodic at startup of 10S</t>
  </si>
  <si>
    <t xml:space="preserve">SIG_BatteryStatus</t>
  </si>
  <si>
    <t xml:space="preserve">Battery working state
0: Sleep
1: Discharging: 电池正在对外放电
2: Charging
3: Discharge protection
4: Charge protection
5: Hold: 电池挂起状态，电池不对外供电，且不允许充电
6~14: Reserved value
15: Invalid value</t>
  </si>
  <si>
    <t xml:space="preserve">SIG_DisChgMosStatus</t>
  </si>
  <si>
    <t xml:space="preserve">BMS discharge mos status
0: MOS turned ON
1: MOS turned OFF by AFE protection
2: MOS turned OFF by MCU protection
3: MOS turned OFF by Multi-Battery logic</t>
  </si>
  <si>
    <t xml:space="preserve">SIG_ChgMosStatus</t>
  </si>
  <si>
    <t xml:space="preserve">BMS charge mos status
0: MOS turned ON
1: MOS turned OFF by AFE protection
2: MOS turned OFF by MCU protection
3: MOS turned OFF by Multi-Battery logic</t>
  </si>
  <si>
    <t xml:space="preserve">Battery remained capaciity percentage calculated by BMS</t>
  </si>
  <si>
    <t xml:space="preserve">SIG_LeftCapacity_MAH</t>
  </si>
  <si>
    <t xml:space="preserve">mAh</t>
  </si>
  <si>
    <t xml:space="preserve">Battery remained capacity calculated by BMS</t>
  </si>
  <si>
    <t xml:space="preserve">SIG_Reserve48_16</t>
  </si>
  <si>
    <t xml:space="preserve">Message ID：0x031
__________________
Periodic: 1000ms
Send with 100ms periodic at startup of 10S</t>
  </si>
  <si>
    <t xml:space="preserve">Battery voltage calculated by BMS</t>
  </si>
  <si>
    <t xml:space="preserve">I16</t>
  </si>
  <si>
    <t xml:space="preserve">Battery current calculated by BMS
Discharge: current &lt; 0
Charge: current &gt; 0</t>
  </si>
  <si>
    <t xml:space="preserve">Message ID：0x032
__________________
Periodic: 2000ms
Send with 100ms periodic at startup of 10S</t>
  </si>
  <si>
    <t xml:space="preserve">SIG_DischargeCurrentLimit_A</t>
  </si>
  <si>
    <t xml:space="preserve">电池允许的最大持续放电电流；
Max continuous discharge current of the batter.</t>
  </si>
  <si>
    <t xml:space="preserve">SIG_BmsMosTemp_C</t>
  </si>
  <si>
    <t xml:space="preserve">℃</t>
  </si>
  <si>
    <t xml:space="preserve">BMS discharge mosfet temperature</t>
  </si>
  <si>
    <t xml:space="preserve">SIG_BmsMaxCellTemp_C</t>
  </si>
  <si>
    <t xml:space="preserve">Package maximum cell temperature</t>
  </si>
  <si>
    <t xml:space="preserve">SIG_BmsMinCellTemp_C</t>
  </si>
  <si>
    <t xml:space="preserve">Package minimum cell temperature</t>
  </si>
  <si>
    <t xml:space="preserve">Message ID：0x033
__________________
Periodic: 1000ms
Send with 100ms periodic at startup of 10S</t>
  </si>
  <si>
    <t xml:space="preserve">SIG_RequiredChargeVoltage_V</t>
  </si>
  <si>
    <t xml:space="preserve">Battery required charge voltage</t>
  </si>
  <si>
    <t xml:space="preserve">SIG_RequiredChargeCurrent_A</t>
  </si>
  <si>
    <t xml:space="preserve">Battery required charge current </t>
  </si>
  <si>
    <t xml:space="preserve">SIG_RemainChargeTime_M</t>
  </si>
  <si>
    <t xml:space="preserve">Minutes</t>
  </si>
  <si>
    <t xml:space="preserve">剩余充电时间；
当系统存在多个电池时，该信号表示整个系统的剩余充电时间，BMS需要按照所有电池的总容量和所有电池的总充电电流计算剩余时间
Battery remained charge time
</t>
  </si>
  <si>
    <t xml:space="preserve">SIG_BatteryChargeAllowed</t>
  </si>
  <si>
    <t xml:space="preserve">Whether package allowed to be charged
0: Not allowed to be charged
1: Allowed to be charged
2: Reserved value
3: Invalid value</t>
  </si>
  <si>
    <t xml:space="preserve">SIG_ChargerConnected</t>
  </si>
  <si>
    <t xml:space="preserve">Whether the charger connected to battery
0: Charger not connected
1: Charger connected
2: Reserved value
3: Invalid value</t>
  </si>
  <si>
    <t xml:space="preserve">SIG_Reserve52_4</t>
  </si>
  <si>
    <t xml:space="preserve">Message ID：0x034
__________________
Periodic: 10000ms
Send with 100ms periodic at startup of 10S</t>
  </si>
  <si>
    <t xml:space="preserve">SIG_FullCapacity_MAH</t>
  </si>
  <si>
    <t xml:space="preserve">Battery capacity when full charged</t>
  </si>
  <si>
    <t xml:space="preserve">SIG_NominalVoltageType</t>
  </si>
  <si>
    <t xml:space="preserve">Battery nominal voltage type
0: 36V system
1: 48V system
2: Reserved
3: Invalid value</t>
  </si>
  <si>
    <t xml:space="preserve">SIG_Reserve18_6</t>
  </si>
  <si>
    <t xml:space="preserve">SIG_DesignCapacity_MAH</t>
  </si>
  <si>
    <t xml:space="preserve">3~4</t>
  </si>
  <si>
    <t xml:space="preserve">Battery designed capacity</t>
  </si>
  <si>
    <t xml:space="preserve">SIG_Reserve24_40</t>
  </si>
  <si>
    <t xml:space="preserve">SEN</t>
  </si>
  <si>
    <t xml:space="preserve">Message ID：0x060
__________________
Periodic: 100ms</t>
  </si>
  <si>
    <t xml:space="preserve">SIG_TorqueFrequency_Hz</t>
  </si>
  <si>
    <t xml:space="preserve">Hz</t>
  </si>
  <si>
    <t xml:space="preserve">Torque sensor frequency</t>
  </si>
  <si>
    <t xml:space="preserve">Sig_TorqueDAValue</t>
  </si>
  <si>
    <t xml:space="preserve">Torque sensor DAC value</t>
  </si>
  <si>
    <t xml:space="preserve">Reserve32_32</t>
  </si>
  <si>
    <t xml:space="preserve">Message ID：0x0E0
__________________
Periodic: 1000ms</t>
  </si>
  <si>
    <t xml:space="preserve">SIG_MaxChargeVoltage_V</t>
  </si>
  <si>
    <t xml:space="preserve">Charger max avriable charge voltage</t>
  </si>
  <si>
    <t xml:space="preserve">SIG_MaxChargeCurrent_A</t>
  </si>
  <si>
    <t xml:space="preserve">Charger max avriable charge current</t>
  </si>
  <si>
    <t xml:space="preserve">SIG_RTChargeCurrent_A</t>
  </si>
  <si>
    <t xml:space="preserve">Charger realtime charging current</t>
  </si>
  <si>
    <t xml:space="preserve">SIG_ChargerTemp_C</t>
  </si>
  <si>
    <t xml:space="preserve">Charger realtime temperature</t>
  </si>
  <si>
    <t xml:space="preserve">History</t>
  </si>
  <si>
    <t xml:space="preserve">Version</t>
  </si>
  <si>
    <t xml:space="preserve">Author</t>
  </si>
  <si>
    <t xml:space="preserve">Date</t>
  </si>
  <si>
    <t xml:space="preserve">V0.0</t>
  </si>
  <si>
    <t xml:space="preserve">1. Create this document.</t>
  </si>
  <si>
    <t xml:space="preserve">Fischer</t>
  </si>
  <si>
    <t xml:space="preserve">V0.1</t>
  </si>
  <si>
    <t xml:space="preserve">1. Add signal CM_HMI020_CTL_RIDECONTROL -&gt; SIG_C_OperateActive
2. Add signal CM_IOT038_CTL_ECUSTATUS -&gt; SIG_C_OperateActive
3. Add signal CM_APP040_CTL_ECUSTATUS -&gt; SIG_C_OperateActive
3. Change message name "_MNG_" to "MNT" (Motnitor)</t>
  </si>
  <si>
    <t xml:space="preserve">V0.2</t>
  </si>
  <si>
    <t xml:space="preserve">1.Change signal mapping of CM_MC011_MNT_BIKESTATUS</t>
  </si>
  <si>
    <t xml:space="preserve">V0.3</t>
  </si>
  <si>
    <t xml:space="preserve">1.Add Sheet 03_CommunicationList</t>
  </si>
  <si>
    <t xml:space="preserve">V1.0</t>
  </si>
  <si>
    <r>
      <rPr>
        <sz val="10"/>
        <color rgb="FF000000"/>
        <rFont val="等线"/>
        <family val="0"/>
        <charset val="134"/>
      </rPr>
      <t xml:space="preserve">1.Add sheet NodeAddress, Update node address mapping
2.Add sheet Message ID, Update message ID allocation
3.Update communication message list
4.Update communication signal mapping of message matrix
5.Add rolling counter for messages</t>
    </r>
    <r>
      <rPr>
        <sz val="10"/>
        <color rgb="FF000000"/>
        <rFont val="Noto Sans CJK SC"/>
        <family val="2"/>
      </rPr>
      <t xml:space="preserve">：</t>
    </r>
    <r>
      <rPr>
        <sz val="10"/>
        <color rgb="FF000000"/>
        <rFont val="等线"/>
        <family val="0"/>
        <charset val="134"/>
      </rPr>
      <t xml:space="preserve">0x001</t>
    </r>
    <r>
      <rPr>
        <sz val="10"/>
        <color rgb="FF000000"/>
        <rFont val="Noto Sans CJK SC"/>
        <family val="2"/>
      </rPr>
      <t xml:space="preserve">，</t>
    </r>
    <r>
      <rPr>
        <sz val="10"/>
        <color rgb="FF000000"/>
        <rFont val="等线"/>
        <family val="0"/>
        <charset val="134"/>
      </rPr>
      <t xml:space="preserve">0x010</t>
    </r>
    <r>
      <rPr>
        <sz val="10"/>
        <color rgb="FF000000"/>
        <rFont val="Noto Sans CJK SC"/>
        <family val="2"/>
      </rPr>
      <t xml:space="preserve">，</t>
    </r>
    <r>
      <rPr>
        <sz val="10"/>
        <color rgb="FF000000"/>
        <rFont val="等线"/>
        <family val="0"/>
        <charset val="134"/>
      </rPr>
      <t xml:space="preserve">0x020
6.Add message priority control signal</t>
    </r>
  </si>
  <si>
    <t xml:space="preserve">V1.1</t>
  </si>
  <si>
    <t xml:space="preserve">1.Add signal 0x033 -&gt;SIG_ChargerConnected
2.Deleted message 0x002
3.Add Message CM_GEN004_CTL_SystemLocked
4.Add message CM_GEN005_CTL_BikeAlarm
5.Change 0x031-&gt;SIG_BatteryCurrent_A
   Discharge, current &lt; 0
   Charge, current &gt; 0
6. Message 0x020, Add description of Walk function can only be operated by display. 07/19
7. Add signal 0x030-&gt;SIG_DisChgMosStatus 08/06
8. Add signal 0x020 -&gt; Human energy signal, rear light, left turn light, right turn light 08/21
9. Add Message 0x060 for torque sensor 2024/11/27
10. Add signal SIG_MaxRange, 2025/2/10</t>
  </si>
  <si>
    <t xml:space="preserve">V1.2</t>
  </si>
  <si>
    <t xml:space="preserve">1.Add signal 0x034 -&gt;SIG_DesignCapacity_MAH. 2025/2/28</t>
  </si>
  <si>
    <t xml:space="preserve">V1.3</t>
  </si>
  <si>
    <t xml:space="preserve">1.Add signal 0x010-&gt;SIG_ThrottleStatus 2025/6/18</t>
  </si>
</sst>
</file>

<file path=xl/styles.xml><?xml version="1.0" encoding="utf-8"?>
<styleSheet xmlns="http://schemas.openxmlformats.org/spreadsheetml/2006/main">
  <numFmts count="4">
    <numFmt numFmtId="164" formatCode="General"/>
    <numFmt numFmtId="165" formatCode="@"/>
    <numFmt numFmtId="166" formatCode="General"/>
    <numFmt numFmtId="167" formatCode="m/d/yyyy"/>
  </numFmts>
  <fonts count="27">
    <font>
      <sz val="10"/>
      <name val="Arial"/>
      <family val="2"/>
    </font>
    <font>
      <sz val="10"/>
      <name val="Arial"/>
      <family val="0"/>
    </font>
    <font>
      <sz val="10"/>
      <name val="Arial"/>
      <family val="0"/>
    </font>
    <font>
      <sz val="10"/>
      <name val="Arial"/>
      <family val="0"/>
    </font>
    <font>
      <sz val="10"/>
      <color theme="1"/>
      <name val="微软雅黑"/>
      <family val="0"/>
      <charset val="134"/>
    </font>
    <font>
      <sz val="9.75"/>
      <color rgb="FF000000"/>
      <name val="微软雅黑"/>
      <family val="0"/>
      <charset val="134"/>
    </font>
    <font>
      <b val="true"/>
      <sz val="18"/>
      <color rgb="FF000000"/>
      <name val="微软雅黑"/>
      <family val="0"/>
      <charset val="134"/>
    </font>
    <font>
      <b val="true"/>
      <sz val="10"/>
      <color rgb="FF000000"/>
      <name val="微软雅黑"/>
      <family val="0"/>
      <charset val="134"/>
    </font>
    <font>
      <sz val="10"/>
      <color rgb="FF000000"/>
      <name val="微软雅黑"/>
      <family val="0"/>
      <charset val="134"/>
    </font>
    <font>
      <b val="true"/>
      <sz val="16"/>
      <color rgb="FF000000"/>
      <name val="微软雅黑"/>
      <family val="0"/>
      <charset val="134"/>
    </font>
    <font>
      <b val="true"/>
      <sz val="10.5"/>
      <color rgb="FF1F2329"/>
      <name val="微软雅黑"/>
      <family val="0"/>
      <charset val="134"/>
    </font>
    <font>
      <sz val="10.5"/>
      <color rgb="FF1F2329"/>
      <name val="微软雅黑"/>
      <family val="0"/>
      <charset val="134"/>
    </font>
    <font>
      <b val="true"/>
      <sz val="12"/>
      <color rgb="FF000000"/>
      <name val="微软雅黑"/>
      <family val="0"/>
      <charset val="134"/>
    </font>
    <font>
      <b val="true"/>
      <sz val="16"/>
      <color rgb="FF1F2329"/>
      <name val="微软雅黑"/>
      <family val="0"/>
      <charset val="134"/>
    </font>
    <font>
      <sz val="10"/>
      <color rgb="FF1F2329"/>
      <name val="微软雅黑"/>
      <family val="0"/>
      <charset val="134"/>
    </font>
    <font>
      <sz val="10"/>
      <color theme="1"/>
      <name val="等线"/>
      <family val="0"/>
      <charset val="134"/>
    </font>
    <font>
      <b val="true"/>
      <sz val="12"/>
      <color rgb="FF1F2329"/>
      <name val="微软雅黑"/>
      <family val="0"/>
      <charset val="134"/>
    </font>
    <font>
      <b val="true"/>
      <sz val="10"/>
      <color rgb="FF1F2329"/>
      <name val="微软雅黑"/>
      <family val="0"/>
      <charset val="134"/>
    </font>
    <font>
      <b val="true"/>
      <sz val="10"/>
      <color theme="1"/>
      <name val="微软雅黑"/>
      <family val="0"/>
      <charset val="134"/>
    </font>
    <font>
      <b val="true"/>
      <sz val="10"/>
      <color rgb="FFC9211E"/>
      <name val="微软雅黑"/>
      <family val="0"/>
      <charset val="134"/>
    </font>
    <font>
      <b val="true"/>
      <sz val="9.75"/>
      <color rgb="FF1F2329"/>
      <name val="微软雅黑"/>
      <family val="0"/>
      <charset val="134"/>
    </font>
    <font>
      <sz val="9.75"/>
      <color rgb="FF1F2329"/>
      <name val="微软雅黑"/>
      <family val="0"/>
      <charset val="134"/>
    </font>
    <font>
      <b val="true"/>
      <sz val="16"/>
      <color rgb="FF000000"/>
      <name val="等线"/>
      <family val="0"/>
      <charset val="134"/>
    </font>
    <font>
      <b val="true"/>
      <sz val="9.75"/>
      <color rgb="FF000000"/>
      <name val="等线"/>
      <family val="0"/>
      <charset val="134"/>
    </font>
    <font>
      <sz val="9.75"/>
      <color rgb="FF000000"/>
      <name val="等线"/>
      <family val="0"/>
      <charset val="134"/>
    </font>
    <font>
      <sz val="10"/>
      <color rgb="FF000000"/>
      <name val="等线"/>
      <family val="0"/>
      <charset val="134"/>
    </font>
    <font>
      <sz val="10"/>
      <color rgb="FF000000"/>
      <name val="Noto Sans CJK SC"/>
      <family val="2"/>
    </font>
  </fonts>
  <fills count="7">
    <fill>
      <patternFill patternType="none"/>
    </fill>
    <fill>
      <patternFill patternType="gray125"/>
    </fill>
    <fill>
      <patternFill patternType="solid">
        <fgColor rgb="FFDEE0E3"/>
        <bgColor rgb="FFFFF2CC"/>
      </patternFill>
    </fill>
    <fill>
      <patternFill patternType="solid">
        <fgColor rgb="FFFFFF00"/>
        <bgColor rgb="FFFFFF00"/>
      </patternFill>
    </fill>
    <fill>
      <patternFill patternType="solid">
        <fgColor rgb="FFF8F9FA"/>
        <bgColor rgb="FFFFF2CC"/>
      </patternFill>
    </fill>
    <fill>
      <patternFill patternType="solid">
        <fgColor rgb="FFFFF2CC"/>
        <bgColor rgb="FFF8F9FA"/>
      </patternFill>
    </fill>
    <fill>
      <patternFill patternType="solid">
        <fgColor rgb="FF8F959E"/>
        <bgColor rgb="FF808080"/>
      </patternFill>
    </fill>
  </fills>
  <borders count="18">
    <border diagonalUp="false" diagonalDown="false">
      <left/>
      <right/>
      <top/>
      <bottom/>
      <diagonal/>
    </border>
    <border diagonalUp="false" diagonalDown="false">
      <left style="thin">
        <color rgb="FF1F2329"/>
      </left>
      <right style="thin">
        <color rgb="FF1F2329"/>
      </right>
      <top style="thin">
        <color rgb="FF1F2329"/>
      </top>
      <bottom style="thin">
        <color rgb="FF1F2329"/>
      </bottom>
      <diagonal/>
    </border>
    <border diagonalUp="false" diagonalDown="false">
      <left style="thin"/>
      <right style="thin"/>
      <top style="thin"/>
      <bottom style="thin"/>
      <diagonal/>
    </border>
    <border diagonalUp="false" diagonalDown="false">
      <left/>
      <right/>
      <top/>
      <bottom style="thin">
        <color rgb="FF1F2329"/>
      </bottom>
      <diagonal/>
    </border>
    <border diagonalUp="false" diagonalDown="false">
      <left style="thin">
        <color rgb="FF1F2329"/>
      </left>
      <right style="thin">
        <color rgb="FF1F2329"/>
      </right>
      <top/>
      <bottom style="thin">
        <color rgb="FF1F2329"/>
      </bottom>
      <diagonal/>
    </border>
    <border diagonalUp="false" diagonalDown="false">
      <left style="thin"/>
      <right style="thin"/>
      <top/>
      <bottom style="thin"/>
      <diagonal/>
    </border>
    <border diagonalUp="false" diagonalDown="false">
      <left style="thin">
        <color rgb="FF1F2329"/>
      </left>
      <right/>
      <top/>
      <bottom style="thin">
        <color rgb="FF1F2329"/>
      </bottom>
      <diagonal/>
    </border>
    <border diagonalUp="false" diagonalDown="false">
      <left/>
      <right style="thin">
        <color rgb="FF1F2329"/>
      </right>
      <top/>
      <bottom style="thin">
        <color rgb="FF1F2329"/>
      </bottom>
      <diagonal/>
    </border>
    <border diagonalUp="false" diagonalDown="false">
      <left style="thin">
        <color rgb="FF1F2329"/>
      </left>
      <right/>
      <top style="thin">
        <color rgb="FF1F2329"/>
      </top>
      <bottom style="thin">
        <color rgb="FF1F2329"/>
      </bottom>
      <diagonal/>
    </border>
    <border diagonalUp="false" diagonalDown="false">
      <left/>
      <right/>
      <top style="thin">
        <color rgb="FF1F2329"/>
      </top>
      <bottom style="thin">
        <color rgb="FF1F2329"/>
      </bottom>
      <diagonal/>
    </border>
    <border diagonalUp="false" diagonalDown="false">
      <left/>
      <right style="thin">
        <color rgb="FF1F2329"/>
      </right>
      <top style="thin">
        <color rgb="FF1F2329"/>
      </top>
      <bottom style="thin">
        <color rgb="FF1F2329"/>
      </bottom>
      <diagonal/>
    </border>
    <border diagonalUp="false" diagonalDown="false">
      <left style="thin">
        <color rgb="FF1F2329"/>
      </left>
      <right style="thin">
        <color rgb="FF1F2329"/>
      </right>
      <top style="thin">
        <color rgb="FF1F2329"/>
      </top>
      <bottom style="thin"/>
      <diagonal/>
    </border>
    <border diagonalUp="false" diagonalDown="false">
      <left style="thin">
        <color rgb="FF1F2329"/>
      </left>
      <right/>
      <top style="thin">
        <color rgb="FF1F2329"/>
      </top>
      <bottom/>
      <diagonal/>
    </border>
    <border diagonalUp="false" diagonalDown="false">
      <left/>
      <right/>
      <top style="thin">
        <color rgb="FF1F2329"/>
      </top>
      <bottom/>
      <diagonal/>
    </border>
    <border diagonalUp="false" diagonalDown="false">
      <left/>
      <right style="thin">
        <color rgb="FF1F2329"/>
      </right>
      <top style="thin">
        <color rgb="FF1F2329"/>
      </top>
      <bottom/>
      <diagonal/>
    </border>
    <border diagonalUp="false" diagonalDown="false">
      <left style="thin">
        <color rgb="FF1F2329"/>
      </left>
      <right style="thin">
        <color rgb="FF1F2329"/>
      </right>
      <top style="thin">
        <color rgb="FF1F2329"/>
      </top>
      <bottom/>
      <diagonal/>
    </border>
    <border diagonalUp="false" diagonalDown="false">
      <left/>
      <right/>
      <top style="thin"/>
      <bottom/>
      <diagonal/>
    </border>
    <border diagonalUp="false" diagonalDown="false">
      <left style="thin">
        <color rgb="FF1F2329"/>
      </left>
      <right style="thin">
        <color rgb="FF1F2329"/>
      </right>
      <top style="thin"/>
      <bottom style="thin">
        <color rgb="FF1F232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true">
      <alignment horizontal="general" vertical="center" textRotation="0" wrapText="false" indent="0" shrinkToFit="false"/>
      <protection locked="true" hidden="false"/>
    </xf>
    <xf numFmtId="164" fontId="5" fillId="0" borderId="0" xfId="0" applyFont="true" applyBorder="true" applyAlignment="true" applyProtection="true">
      <alignment horizontal="left" vertical="center" textRotation="0" wrapText="false" indent="0" shrinkToFit="false"/>
      <protection locked="true" hidden="false"/>
    </xf>
    <xf numFmtId="164" fontId="6" fillId="0" borderId="0" xfId="0" applyFont="true" applyBorder="true" applyAlignment="true" applyProtection="true">
      <alignment horizontal="center" vertical="center" textRotation="0" wrapText="false" indent="0" shrinkToFit="false"/>
      <protection locked="true" hidden="false"/>
    </xf>
    <xf numFmtId="164" fontId="7" fillId="0" borderId="0" xfId="0" applyFont="true" applyBorder="true" applyAlignment="true" applyProtection="true">
      <alignment horizontal="left" vertical="center" textRotation="0" wrapText="false" indent="0" shrinkToFit="false"/>
      <protection locked="true" hidden="false"/>
    </xf>
    <xf numFmtId="165" fontId="7" fillId="0" borderId="0" xfId="0" applyFont="true" applyBorder="true" applyAlignment="true" applyProtection="true">
      <alignment horizontal="right" vertical="center" textRotation="0" wrapText="false" indent="0" shrinkToFit="false"/>
      <protection locked="true" hidden="false"/>
    </xf>
    <xf numFmtId="164" fontId="8" fillId="0" borderId="0" xfId="0" applyFont="true" applyBorder="true" applyAlignment="true" applyProtection="true">
      <alignment horizontal="general" vertical="center" textRotation="0" wrapText="true" indent="0" shrinkToFit="false"/>
      <protection locked="true" hidden="false"/>
    </xf>
    <xf numFmtId="164" fontId="7" fillId="0" borderId="1" xfId="0" applyFont="true" applyBorder="true" applyAlignment="true" applyProtection="true">
      <alignment horizontal="center" vertical="center" textRotation="0" wrapText="true" indent="0" shrinkToFit="false"/>
      <protection locked="true" hidden="false"/>
    </xf>
    <xf numFmtId="164" fontId="8" fillId="0" borderId="1" xfId="0" applyFont="true" applyBorder="true" applyAlignment="true" applyProtection="true">
      <alignment horizontal="left" vertical="center" textRotation="0" wrapText="true" indent="0" shrinkToFit="false"/>
      <protection locked="true" hidden="false"/>
    </xf>
    <xf numFmtId="164" fontId="9" fillId="0" borderId="0" xfId="0" applyFont="true" applyBorder="true" applyAlignment="true" applyProtection="true">
      <alignment horizontal="center" vertical="center" textRotation="0" wrapText="false" indent="0" shrinkToFit="false"/>
      <protection locked="true" hidden="false"/>
    </xf>
    <xf numFmtId="164" fontId="10" fillId="2" borderId="2" xfId="0" applyFont="true" applyBorder="true" applyAlignment="true" applyProtection="true">
      <alignment horizontal="left" vertical="center" textRotation="0" wrapText="true" indent="0" shrinkToFit="false"/>
      <protection locked="true" hidden="false"/>
    </xf>
    <xf numFmtId="164" fontId="11" fillId="0" borderId="2" xfId="0" applyFont="true" applyBorder="true" applyAlignment="true" applyProtection="true">
      <alignment horizontal="left" vertical="center" textRotation="0" wrapText="true" indent="0" shrinkToFit="false"/>
      <protection locked="true" hidden="false"/>
    </xf>
    <xf numFmtId="164" fontId="12" fillId="0" borderId="3" xfId="0" applyFont="true" applyBorder="true" applyAlignment="true" applyProtection="true">
      <alignment horizontal="center" vertical="center" textRotation="0" wrapText="false" indent="0" shrinkToFit="false"/>
      <protection locked="true" hidden="false"/>
    </xf>
    <xf numFmtId="164" fontId="10" fillId="2" borderId="4" xfId="0" applyFont="true" applyBorder="true" applyAlignment="true" applyProtection="true">
      <alignment horizontal="left" vertical="center" textRotation="0" wrapText="true" indent="0" shrinkToFit="false"/>
      <protection locked="true" hidden="false"/>
    </xf>
    <xf numFmtId="164" fontId="11" fillId="0" borderId="1" xfId="0" applyFont="true" applyBorder="true" applyAlignment="true" applyProtection="true">
      <alignment horizontal="left" vertical="center" textRotation="0" wrapText="true" indent="0" shrinkToFit="false"/>
      <protection locked="true" hidden="false"/>
    </xf>
    <xf numFmtId="164" fontId="10" fillId="2" borderId="1" xfId="0" applyFont="true" applyBorder="true" applyAlignment="true" applyProtection="true">
      <alignment horizontal="left" vertical="center" textRotation="0" wrapText="true" indent="0" shrinkToFit="false"/>
      <protection locked="true" hidden="false"/>
    </xf>
    <xf numFmtId="164" fontId="11" fillId="0" borderId="4" xfId="0" applyFont="true" applyBorder="true" applyAlignment="true" applyProtection="true">
      <alignment horizontal="left" vertical="center" textRotation="0" wrapText="true" indent="0" shrinkToFit="false"/>
      <protection locked="true" hidden="false"/>
    </xf>
    <xf numFmtId="164" fontId="12" fillId="0" borderId="0" xfId="0" applyFont="true" applyBorder="true" applyAlignment="true" applyProtection="true">
      <alignment horizontal="center" vertical="center" textRotation="0" wrapText="false" indent="0" shrinkToFit="false"/>
      <protection locked="true" hidden="false"/>
    </xf>
    <xf numFmtId="164" fontId="4" fillId="0" borderId="0" xfId="0" applyFont="true" applyBorder="true" applyAlignment="true" applyProtection="true">
      <alignment horizontal="center" vertical="center" textRotation="0" wrapText="false" indent="0" shrinkToFit="false"/>
      <protection locked="true" hidden="false"/>
    </xf>
    <xf numFmtId="164" fontId="13" fillId="0" borderId="0" xfId="0" applyFont="true" applyBorder="true" applyAlignment="true" applyProtection="true">
      <alignment horizontal="center" vertical="center" textRotation="0" wrapText="true" indent="0" shrinkToFit="false"/>
      <protection locked="true" hidden="false"/>
    </xf>
    <xf numFmtId="164" fontId="8" fillId="0" borderId="1" xfId="0" applyFont="true" applyBorder="true" applyAlignment="true" applyProtection="true">
      <alignment horizontal="center" vertical="center" textRotation="0" wrapText="true" indent="0" shrinkToFit="false"/>
      <protection locked="true" hidden="false"/>
    </xf>
    <xf numFmtId="164" fontId="8" fillId="0" borderId="1" xfId="0" applyFont="true" applyBorder="true" applyAlignment="true" applyProtection="true">
      <alignment horizontal="general" vertical="center" textRotation="0" wrapText="true" indent="0" shrinkToFit="false"/>
      <protection locked="true" hidden="false"/>
    </xf>
    <xf numFmtId="164" fontId="8" fillId="3" borderId="1" xfId="0" applyFont="true" applyBorder="true" applyAlignment="true" applyProtection="true">
      <alignment horizontal="general" vertical="center" textRotation="0" wrapText="true" indent="0" shrinkToFit="false"/>
      <protection locked="true" hidden="false"/>
    </xf>
    <xf numFmtId="164" fontId="7" fillId="2" borderId="1" xfId="0" applyFont="true" applyBorder="true" applyAlignment="true" applyProtection="true">
      <alignment horizontal="center" vertical="center" textRotation="0" wrapText="true" indent="0" shrinkToFit="false"/>
      <protection locked="true" hidden="false"/>
    </xf>
    <xf numFmtId="164" fontId="8" fillId="0" borderId="1" xfId="0" applyFont="true" applyBorder="true" applyAlignment="true" applyProtection="true">
      <alignment horizontal="general" vertical="center" textRotation="0" wrapText="false" indent="0" shrinkToFit="false"/>
      <protection locked="true" hidden="false"/>
    </xf>
    <xf numFmtId="164" fontId="8" fillId="4" borderId="1" xfId="0" applyFont="true" applyBorder="true" applyAlignment="true" applyProtection="true">
      <alignment horizontal="general" vertical="center" textRotation="0" wrapText="true" indent="0" shrinkToFit="false"/>
      <protection locked="true" hidden="false"/>
    </xf>
    <xf numFmtId="164" fontId="8" fillId="4" borderId="1" xfId="0" applyFont="true" applyBorder="true" applyAlignment="true" applyProtection="true">
      <alignment horizontal="center" vertical="center" textRotation="0" wrapText="true" indent="0" shrinkToFit="false"/>
      <protection locked="true" hidden="false"/>
    </xf>
    <xf numFmtId="164" fontId="7" fillId="2" borderId="1" xfId="0" applyFont="true" applyBorder="true" applyAlignment="true" applyProtection="true">
      <alignment horizontal="general" vertical="center" textRotation="0" wrapText="true" indent="0" shrinkToFit="false"/>
      <protection locked="true" hidden="false"/>
    </xf>
    <xf numFmtId="164" fontId="8" fillId="0" borderId="3" xfId="0" applyFont="true" applyBorder="true" applyAlignment="true" applyProtection="true">
      <alignment horizontal="general" vertical="center" textRotation="0" wrapText="true" indent="0" shrinkToFit="false"/>
      <protection locked="true" hidden="false"/>
    </xf>
    <xf numFmtId="164" fontId="14" fillId="0" borderId="0" xfId="0" applyFont="true" applyBorder="true" applyAlignment="true" applyProtection="true">
      <alignment horizontal="center" vertical="center" textRotation="0" wrapText="true" indent="0" shrinkToFit="false"/>
      <protection locked="true" hidden="false"/>
    </xf>
    <xf numFmtId="164" fontId="8" fillId="0" borderId="0" xfId="0" applyFont="true" applyBorder="true" applyAlignment="true" applyProtection="true">
      <alignment horizontal="center" vertical="center" textRotation="0" wrapText="true" indent="0" shrinkToFit="false"/>
      <protection locked="true" hidden="false"/>
    </xf>
    <xf numFmtId="164" fontId="7" fillId="4" borderId="1" xfId="0" applyFont="true" applyBorder="true" applyAlignment="true" applyProtection="true">
      <alignment horizontal="left" vertical="center" textRotation="0" wrapText="true" indent="0" shrinkToFit="false"/>
      <protection locked="true" hidden="false"/>
    </xf>
    <xf numFmtId="164" fontId="7" fillId="4" borderId="1" xfId="0" applyFont="true" applyBorder="true" applyAlignment="true" applyProtection="true">
      <alignment horizontal="center" vertical="center" textRotation="0" wrapText="true" indent="0" shrinkToFit="false"/>
      <protection locked="true" hidden="false"/>
    </xf>
    <xf numFmtId="164" fontId="8" fillId="4" borderId="1" xfId="0" applyFont="true" applyBorder="true" applyAlignment="true" applyProtection="true">
      <alignment horizontal="left" vertical="center" textRotation="0" wrapText="true" indent="0" shrinkToFit="false"/>
      <protection locked="true" hidden="false"/>
    </xf>
    <xf numFmtId="164" fontId="15" fillId="0" borderId="0" xfId="0" applyFont="true" applyBorder="true" applyAlignment="true" applyProtection="true">
      <alignment horizontal="center" vertical="center" textRotation="0" wrapText="false" indent="0" shrinkToFit="false"/>
      <protection locked="true" hidden="false"/>
    </xf>
    <xf numFmtId="164" fontId="16" fillId="0" borderId="0" xfId="0" applyFont="true" applyBorder="true" applyAlignment="true" applyProtection="true">
      <alignment horizontal="center" vertical="center" textRotation="0" wrapText="true" indent="0" shrinkToFit="false"/>
      <protection locked="true" hidden="false"/>
    </xf>
    <xf numFmtId="164" fontId="13" fillId="0" borderId="0" xfId="0" applyFont="true" applyBorder="true" applyAlignment="true" applyProtection="true">
      <alignment horizontal="center" vertical="center" textRotation="0" wrapText="false" indent="0" shrinkToFit="false"/>
      <protection locked="true" hidden="false"/>
    </xf>
    <xf numFmtId="164" fontId="16" fillId="0" borderId="0" xfId="0" applyFont="true" applyBorder="true" applyAlignment="true" applyProtection="true">
      <alignment horizontal="left" vertical="center" textRotation="0" wrapText="true" indent="0" shrinkToFit="false"/>
      <protection locked="true" hidden="false"/>
    </xf>
    <xf numFmtId="164" fontId="17" fillId="0" borderId="2" xfId="0" applyFont="true" applyBorder="true" applyAlignment="true" applyProtection="true">
      <alignment horizontal="center" vertical="center" textRotation="0" wrapText="true" indent="0" shrinkToFit="false"/>
      <protection locked="true" hidden="false"/>
    </xf>
    <xf numFmtId="164" fontId="17" fillId="0" borderId="5" xfId="0" applyFont="true" applyBorder="true" applyAlignment="true" applyProtection="true">
      <alignment horizontal="center" vertical="center" textRotation="0" wrapText="true" indent="0" shrinkToFit="false"/>
      <protection locked="true" hidden="false"/>
    </xf>
    <xf numFmtId="164" fontId="18" fillId="0" borderId="0" xfId="0" applyFont="true" applyBorder="true" applyAlignment="true" applyProtection="true">
      <alignment horizontal="general" vertical="center" textRotation="0" wrapText="false" indent="0" shrinkToFit="false"/>
      <protection locked="true" hidden="false"/>
    </xf>
    <xf numFmtId="164" fontId="17" fillId="2" borderId="6" xfId="0" applyFont="true" applyBorder="true" applyAlignment="true" applyProtection="true">
      <alignment horizontal="left" vertical="center" textRotation="0" wrapText="false" indent="0" shrinkToFit="false"/>
      <protection locked="true" hidden="false"/>
    </xf>
    <xf numFmtId="164" fontId="14" fillId="2" borderId="3" xfId="0" applyFont="true" applyBorder="true" applyAlignment="true" applyProtection="true">
      <alignment horizontal="center" vertical="center" textRotation="0" wrapText="false" indent="0" shrinkToFit="false"/>
      <protection locked="true" hidden="false"/>
    </xf>
    <xf numFmtId="164" fontId="17" fillId="2" borderId="3" xfId="0" applyFont="true" applyBorder="true" applyAlignment="true" applyProtection="true">
      <alignment horizontal="center" vertical="center" textRotation="0" wrapText="false" indent="0" shrinkToFit="false"/>
      <protection locked="true" hidden="false"/>
    </xf>
    <xf numFmtId="164" fontId="17" fillId="2" borderId="7" xfId="0" applyFont="true" applyBorder="true" applyAlignment="true" applyProtection="true">
      <alignment horizontal="left" vertical="center" textRotation="0" wrapText="false" indent="0" shrinkToFit="false"/>
      <protection locked="true" hidden="false"/>
    </xf>
    <xf numFmtId="164" fontId="17" fillId="0" borderId="4" xfId="0" applyFont="true" applyBorder="true" applyAlignment="true" applyProtection="true">
      <alignment horizontal="center" vertical="center" textRotation="0" wrapText="true" indent="0" shrinkToFit="false"/>
      <protection locked="true" hidden="false"/>
    </xf>
    <xf numFmtId="164" fontId="17" fillId="0" borderId="4" xfId="0" applyFont="true" applyBorder="true" applyAlignment="true" applyProtection="true">
      <alignment horizontal="left" vertical="center" textRotation="0" wrapText="true" indent="0" shrinkToFit="false"/>
      <protection locked="true" hidden="false"/>
    </xf>
    <xf numFmtId="164" fontId="17" fillId="0" borderId="1" xfId="0" applyFont="true" applyBorder="true" applyAlignment="true" applyProtection="true">
      <alignment horizontal="center" vertical="center" textRotation="0" wrapText="true" indent="0" shrinkToFit="false"/>
      <protection locked="true" hidden="false"/>
    </xf>
    <xf numFmtId="166" fontId="19" fillId="0" borderId="1" xfId="0" applyFont="true" applyBorder="true" applyAlignment="true" applyProtection="true">
      <alignment horizontal="center" vertical="center" textRotation="0" wrapText="true" indent="0" shrinkToFit="false"/>
      <protection locked="true" hidden="false"/>
    </xf>
    <xf numFmtId="164" fontId="19" fillId="0" borderId="1" xfId="0" applyFont="true" applyBorder="true" applyAlignment="true" applyProtection="true">
      <alignment horizontal="left" vertical="center" textRotation="0" wrapText="true" indent="0" shrinkToFit="false"/>
      <protection locked="true" hidden="false"/>
    </xf>
    <xf numFmtId="164" fontId="19" fillId="0" borderId="4" xfId="0" applyFont="true" applyBorder="true" applyAlignment="true" applyProtection="true">
      <alignment horizontal="center" vertical="center" textRotation="0" wrapText="true" indent="0" shrinkToFit="false"/>
      <protection locked="true" hidden="false"/>
    </xf>
    <xf numFmtId="164" fontId="19" fillId="0" borderId="0" xfId="0" applyFont="true" applyBorder="true" applyAlignment="true" applyProtection="true">
      <alignment horizontal="general" vertical="center" textRotation="0" wrapText="false" indent="0" shrinkToFit="false"/>
      <protection locked="true" hidden="false"/>
    </xf>
    <xf numFmtId="164" fontId="17" fillId="0" borderId="1" xfId="0" applyFont="true" applyBorder="true" applyAlignment="true" applyProtection="true">
      <alignment horizontal="left" vertical="center" textRotation="0" wrapText="true" indent="0" shrinkToFit="false"/>
      <protection locked="true" hidden="false"/>
    </xf>
    <xf numFmtId="166" fontId="14" fillId="0" borderId="1" xfId="0" applyFont="true" applyBorder="true" applyAlignment="true" applyProtection="true">
      <alignment horizontal="center" vertical="center" textRotation="0" wrapText="true" indent="0" shrinkToFit="false"/>
      <protection locked="true" hidden="false"/>
    </xf>
    <xf numFmtId="164" fontId="14" fillId="0" borderId="1" xfId="0" applyFont="true" applyBorder="true" applyAlignment="true" applyProtection="true">
      <alignment horizontal="left" vertical="center" textRotation="0" wrapText="true" indent="0" shrinkToFit="false"/>
      <protection locked="true" hidden="false"/>
    </xf>
    <xf numFmtId="164" fontId="14" fillId="0" borderId="4" xfId="0" applyFont="true" applyBorder="true" applyAlignment="true" applyProtection="true">
      <alignment horizontal="center" vertical="center" textRotation="0" wrapText="true" indent="0" shrinkToFit="false"/>
      <protection locked="true" hidden="false"/>
    </xf>
    <xf numFmtId="164" fontId="17" fillId="2" borderId="8" xfId="0" applyFont="true" applyBorder="true" applyAlignment="true" applyProtection="true">
      <alignment horizontal="left" vertical="center" textRotation="0" wrapText="false" indent="0" shrinkToFit="false"/>
      <protection locked="true" hidden="false"/>
    </xf>
    <xf numFmtId="164" fontId="14" fillId="2" borderId="9" xfId="0" applyFont="true" applyBorder="true" applyAlignment="true" applyProtection="true">
      <alignment horizontal="center" vertical="center" textRotation="0" wrapText="false" indent="0" shrinkToFit="false"/>
      <protection locked="true" hidden="false"/>
    </xf>
    <xf numFmtId="164" fontId="17" fillId="2" borderId="9" xfId="0" applyFont="true" applyBorder="true" applyAlignment="true" applyProtection="true">
      <alignment horizontal="center" vertical="center" textRotation="0" wrapText="false" indent="0" shrinkToFit="false"/>
      <protection locked="true" hidden="false"/>
    </xf>
    <xf numFmtId="164" fontId="17" fillId="2" borderId="10" xfId="0" applyFont="true" applyBorder="true" applyAlignment="true" applyProtection="true">
      <alignment horizontal="left" vertical="center" textRotation="0" wrapText="false" indent="0" shrinkToFit="false"/>
      <protection locked="true" hidden="false"/>
    </xf>
    <xf numFmtId="164" fontId="17" fillId="0" borderId="1" xfId="0" applyFont="true" applyBorder="true" applyAlignment="true" applyProtection="true">
      <alignment horizontal="left" vertical="center" textRotation="0" wrapText="false" indent="0" shrinkToFit="false"/>
      <protection locked="true" hidden="false"/>
    </xf>
    <xf numFmtId="166" fontId="17" fillId="5" borderId="1" xfId="0" applyFont="true" applyBorder="true" applyAlignment="true" applyProtection="true">
      <alignment horizontal="center" vertical="center" textRotation="0" wrapText="true" indent="0" shrinkToFit="false"/>
      <protection locked="true" hidden="false"/>
    </xf>
    <xf numFmtId="164" fontId="17" fillId="5" borderId="1" xfId="0" applyFont="true" applyBorder="true" applyAlignment="true" applyProtection="true">
      <alignment horizontal="left" vertical="center" textRotation="0" wrapText="false" indent="0" shrinkToFit="false"/>
      <protection locked="true" hidden="false"/>
    </xf>
    <xf numFmtId="164" fontId="17" fillId="5" borderId="4" xfId="0" applyFont="true" applyBorder="true" applyAlignment="true" applyProtection="true">
      <alignment horizontal="center" vertical="center" textRotation="0" wrapText="true" indent="0" shrinkToFit="false"/>
      <protection locked="true" hidden="false"/>
    </xf>
    <xf numFmtId="164" fontId="17" fillId="5" borderId="1" xfId="0" applyFont="true" applyBorder="true" applyAlignment="true" applyProtection="true">
      <alignment horizontal="left" vertical="center" textRotation="0" wrapText="true" indent="0" shrinkToFit="false"/>
      <protection locked="true" hidden="false"/>
    </xf>
    <xf numFmtId="164" fontId="14" fillId="0" borderId="1" xfId="0" applyFont="true" applyBorder="true" applyAlignment="true" applyProtection="true">
      <alignment horizontal="left" vertical="center" textRotation="0" wrapText="false" indent="0" shrinkToFit="false"/>
      <protection locked="true" hidden="false"/>
    </xf>
    <xf numFmtId="164" fontId="14" fillId="3" borderId="1" xfId="0" applyFont="true" applyBorder="true" applyAlignment="true" applyProtection="true">
      <alignment horizontal="left" vertical="center" textRotation="0" wrapText="false" indent="0" shrinkToFit="false"/>
      <protection locked="true" hidden="false"/>
    </xf>
    <xf numFmtId="164" fontId="14" fillId="3" borderId="4" xfId="0" applyFont="true" applyBorder="true" applyAlignment="true" applyProtection="true">
      <alignment horizontal="center" vertical="center" textRotation="0" wrapText="true" indent="0" shrinkToFit="false"/>
      <protection locked="true" hidden="false"/>
    </xf>
    <xf numFmtId="164" fontId="14" fillId="3" borderId="1" xfId="0" applyFont="true" applyBorder="true" applyAlignment="true" applyProtection="true">
      <alignment horizontal="center" vertical="center" textRotation="0" wrapText="true" indent="0" shrinkToFit="false"/>
      <protection locked="true" hidden="false"/>
    </xf>
    <xf numFmtId="164" fontId="14" fillId="3" borderId="1" xfId="0" applyFont="true" applyBorder="true" applyAlignment="true" applyProtection="true">
      <alignment horizontal="left" vertical="center" textRotation="0" wrapText="true" indent="0" shrinkToFit="false"/>
      <protection locked="true" hidden="false"/>
    </xf>
    <xf numFmtId="164" fontId="20" fillId="0" borderId="11" xfId="0" applyFont="true" applyBorder="true" applyAlignment="true" applyProtection="true">
      <alignment horizontal="center" vertical="center" textRotation="0" wrapText="true" indent="0" shrinkToFit="false"/>
      <protection locked="true" hidden="false"/>
    </xf>
    <xf numFmtId="164" fontId="20" fillId="0" borderId="1" xfId="0" applyFont="true" applyBorder="true" applyAlignment="true" applyProtection="true">
      <alignment horizontal="center" vertical="center" textRotation="0" wrapText="true" indent="0" shrinkToFit="false"/>
      <protection locked="true" hidden="false"/>
    </xf>
    <xf numFmtId="164" fontId="20" fillId="6" borderId="6" xfId="0" applyFont="true" applyBorder="true" applyAlignment="true" applyProtection="true">
      <alignment horizontal="center" vertical="center" textRotation="0" wrapText="true" indent="0" shrinkToFit="false"/>
      <protection locked="true" hidden="false"/>
    </xf>
    <xf numFmtId="164" fontId="20" fillId="6" borderId="3" xfId="0" applyFont="true" applyBorder="true" applyAlignment="true" applyProtection="true">
      <alignment horizontal="center" vertical="center" textRotation="0" wrapText="true" indent="0" shrinkToFit="false"/>
      <protection locked="true" hidden="false"/>
    </xf>
    <xf numFmtId="164" fontId="20" fillId="6" borderId="7" xfId="0" applyFont="true" applyBorder="true" applyAlignment="true" applyProtection="true">
      <alignment horizontal="center" vertical="center" textRotation="0" wrapText="true" indent="0" shrinkToFit="false"/>
      <protection locked="true" hidden="false"/>
    </xf>
    <xf numFmtId="164" fontId="21" fillId="2" borderId="4" xfId="0" applyFont="true" applyBorder="true" applyAlignment="true" applyProtection="true">
      <alignment horizontal="center" vertical="center" textRotation="0" wrapText="true" indent="0" shrinkToFit="false"/>
      <protection locked="true" hidden="false"/>
    </xf>
    <xf numFmtId="164" fontId="21" fillId="2" borderId="4" xfId="0" applyFont="true" applyBorder="true" applyAlignment="true" applyProtection="true">
      <alignment horizontal="left" vertical="center" textRotation="0" wrapText="true" indent="0" shrinkToFit="false"/>
      <protection locked="true" hidden="false"/>
    </xf>
    <xf numFmtId="164" fontId="21" fillId="0" borderId="1" xfId="0" applyFont="true" applyBorder="true" applyAlignment="true" applyProtection="true">
      <alignment horizontal="center" vertical="top" textRotation="0" wrapText="true" indent="0" shrinkToFit="false"/>
      <protection locked="true" hidden="false"/>
    </xf>
    <xf numFmtId="164" fontId="14" fillId="5" borderId="1" xfId="0" applyFont="true" applyBorder="true" applyAlignment="true" applyProtection="true">
      <alignment horizontal="left" vertical="top" textRotation="0" wrapText="true" indent="0" shrinkToFit="false"/>
      <protection locked="true" hidden="false"/>
    </xf>
    <xf numFmtId="164" fontId="21" fillId="5" borderId="1" xfId="0" applyFont="true" applyBorder="true" applyAlignment="true" applyProtection="true">
      <alignment horizontal="center" vertical="center" textRotation="0" wrapText="true" indent="0" shrinkToFit="false"/>
      <protection locked="true" hidden="false"/>
    </xf>
    <xf numFmtId="164" fontId="21" fillId="5" borderId="1" xfId="0" applyFont="true" applyBorder="true" applyAlignment="true" applyProtection="true">
      <alignment horizontal="left" vertical="center" textRotation="0" wrapText="true" indent="0" shrinkToFit="false"/>
      <protection locked="true" hidden="false"/>
    </xf>
    <xf numFmtId="164" fontId="14" fillId="5" borderId="1" xfId="0" applyFont="true" applyBorder="true" applyAlignment="true" applyProtection="true">
      <alignment horizontal="left" vertical="center" textRotation="0" wrapText="true" indent="0" shrinkToFit="false"/>
      <protection locked="true" hidden="false"/>
    </xf>
    <xf numFmtId="164" fontId="14" fillId="5" borderId="1" xfId="0" applyFont="true" applyBorder="true" applyAlignment="true" applyProtection="true">
      <alignment horizontal="center" vertical="center" textRotation="0" wrapText="true" indent="0" shrinkToFit="false"/>
      <protection locked="true" hidden="false"/>
    </xf>
    <xf numFmtId="166" fontId="21" fillId="2" borderId="1" xfId="0" applyFont="true" applyBorder="true" applyAlignment="true" applyProtection="true">
      <alignment horizontal="center" vertical="center" textRotation="0" wrapText="true" indent="0" shrinkToFit="false"/>
      <protection locked="true" hidden="false"/>
    </xf>
    <xf numFmtId="164" fontId="21" fillId="2" borderId="1" xfId="0" applyFont="true" applyBorder="true" applyAlignment="true" applyProtection="true">
      <alignment horizontal="left" vertical="center" textRotation="0" wrapText="true" indent="0" shrinkToFit="false"/>
      <protection locked="true" hidden="false"/>
    </xf>
    <xf numFmtId="164" fontId="21" fillId="0" borderId="1" xfId="0" applyFont="true" applyBorder="true" applyAlignment="true" applyProtection="true">
      <alignment horizontal="left" vertical="top" textRotation="0" wrapText="true" indent="0" shrinkToFit="false"/>
      <protection locked="true" hidden="false"/>
    </xf>
    <xf numFmtId="164" fontId="21" fillId="0" borderId="1" xfId="0" applyFont="true" applyBorder="true" applyAlignment="true" applyProtection="true">
      <alignment horizontal="center" vertical="center" textRotation="0" wrapText="true" indent="0" shrinkToFit="false"/>
      <protection locked="true" hidden="false"/>
    </xf>
    <xf numFmtId="164" fontId="21" fillId="0" borderId="1" xfId="0" applyFont="true" applyBorder="true" applyAlignment="true" applyProtection="true">
      <alignment horizontal="left" vertical="center" textRotation="0" wrapText="true" indent="0" shrinkToFit="false"/>
      <protection locked="true" hidden="false"/>
    </xf>
    <xf numFmtId="164" fontId="14" fillId="2" borderId="4" xfId="0" applyFont="true" applyBorder="true" applyAlignment="true" applyProtection="true">
      <alignment horizontal="left" vertical="center" textRotation="0" wrapText="true" indent="0" shrinkToFit="false"/>
      <protection locked="true" hidden="false"/>
    </xf>
    <xf numFmtId="164" fontId="14" fillId="0" borderId="1" xfId="0" applyFont="true" applyBorder="true" applyAlignment="true" applyProtection="true">
      <alignment horizontal="left" vertical="top" textRotation="0" wrapText="true" indent="0" shrinkToFit="false"/>
      <protection locked="true" hidden="false"/>
    </xf>
    <xf numFmtId="164" fontId="14" fillId="0" borderId="1" xfId="0" applyFont="true" applyBorder="true" applyAlignment="true" applyProtection="true">
      <alignment horizontal="center" vertical="center" textRotation="0" wrapText="true" indent="0" shrinkToFit="false"/>
      <protection locked="true" hidden="false"/>
    </xf>
    <xf numFmtId="164" fontId="20" fillId="6" borderId="12" xfId="0" applyFont="true" applyBorder="true" applyAlignment="true" applyProtection="true">
      <alignment horizontal="center" vertical="center" textRotation="0" wrapText="true" indent="0" shrinkToFit="false"/>
      <protection locked="true" hidden="false"/>
    </xf>
    <xf numFmtId="164" fontId="20" fillId="6" borderId="13" xfId="0" applyFont="true" applyBorder="true" applyAlignment="true" applyProtection="true">
      <alignment horizontal="center" vertical="center" textRotation="0" wrapText="true" indent="0" shrinkToFit="false"/>
      <protection locked="true" hidden="false"/>
    </xf>
    <xf numFmtId="164" fontId="20" fillId="6" borderId="14" xfId="0" applyFont="true" applyBorder="true" applyAlignment="true" applyProtection="true">
      <alignment horizontal="center" vertical="center" textRotation="0" wrapText="true" indent="0" shrinkToFit="false"/>
      <protection locked="true" hidden="false"/>
    </xf>
    <xf numFmtId="166" fontId="5" fillId="2" borderId="2" xfId="0" applyFont="true" applyBorder="true" applyAlignment="true" applyProtection="true">
      <alignment horizontal="center" vertical="center" textRotation="0" wrapText="true" indent="0" shrinkToFit="false"/>
      <protection locked="true" hidden="false"/>
    </xf>
    <xf numFmtId="164" fontId="5" fillId="2" borderId="2" xfId="0" applyFont="true" applyBorder="true" applyAlignment="true" applyProtection="true">
      <alignment horizontal="left" vertical="center" textRotation="0" wrapText="true" indent="0" shrinkToFit="false"/>
      <protection locked="true" hidden="false"/>
    </xf>
    <xf numFmtId="164" fontId="21" fillId="2" borderId="2" xfId="0" applyFont="true" applyBorder="true" applyAlignment="true" applyProtection="true">
      <alignment horizontal="center" vertical="center" textRotation="0" wrapText="true" indent="0" shrinkToFit="false"/>
      <protection locked="true" hidden="false"/>
    </xf>
    <xf numFmtId="164" fontId="21" fillId="2" borderId="2" xfId="0" applyFont="true" applyBorder="true" applyAlignment="true" applyProtection="true">
      <alignment horizontal="left" vertical="center" textRotation="0" wrapText="true" indent="0" shrinkToFit="false"/>
      <protection locked="true" hidden="false"/>
    </xf>
    <xf numFmtId="164" fontId="5" fillId="0" borderId="4" xfId="0" applyFont="true" applyBorder="true" applyAlignment="true" applyProtection="true">
      <alignment horizontal="center" vertical="top" textRotation="0" wrapText="true" indent="0" shrinkToFit="false"/>
      <protection locked="true" hidden="false"/>
    </xf>
    <xf numFmtId="164" fontId="5" fillId="0" borderId="4" xfId="0" applyFont="true" applyBorder="true" applyAlignment="true" applyProtection="true">
      <alignment horizontal="left" vertical="top" textRotation="0" wrapText="true" indent="0" shrinkToFit="false"/>
      <protection locked="true" hidden="false"/>
    </xf>
    <xf numFmtId="164" fontId="5" fillId="0" borderId="4" xfId="0" applyFont="true" applyBorder="true" applyAlignment="true" applyProtection="true">
      <alignment horizontal="center" vertical="center" textRotation="0" wrapText="true" indent="0" shrinkToFit="false"/>
      <protection locked="true" hidden="false"/>
    </xf>
    <xf numFmtId="164" fontId="21" fillId="0" borderId="4" xfId="0" applyFont="true" applyBorder="true" applyAlignment="true" applyProtection="true">
      <alignment horizontal="left" vertical="center" textRotation="0" wrapText="true" indent="0" shrinkToFit="false"/>
      <protection locked="true" hidden="false"/>
    </xf>
    <xf numFmtId="164" fontId="21" fillId="0" borderId="4" xfId="0" applyFont="true" applyBorder="true" applyAlignment="true" applyProtection="true">
      <alignment horizontal="center" vertical="center" textRotation="0" wrapText="true" indent="0" shrinkToFit="false"/>
      <protection locked="true" hidden="false"/>
    </xf>
    <xf numFmtId="164" fontId="21" fillId="3" borderId="1" xfId="0" applyFont="true" applyBorder="true" applyAlignment="true" applyProtection="true">
      <alignment horizontal="center" vertical="center" textRotation="0" wrapText="true" indent="0" shrinkToFit="false"/>
      <protection locked="true" hidden="false"/>
    </xf>
    <xf numFmtId="166" fontId="5" fillId="2" borderId="1" xfId="0" applyFont="true" applyBorder="true" applyAlignment="true" applyProtection="true">
      <alignment horizontal="center" vertical="center" textRotation="0" wrapText="true" indent="0" shrinkToFit="false"/>
      <protection locked="true" hidden="false"/>
    </xf>
    <xf numFmtId="164" fontId="5" fillId="2" borderId="1" xfId="0" applyFont="true" applyBorder="true" applyAlignment="true" applyProtection="true">
      <alignment horizontal="left" vertical="center" textRotation="0" wrapText="true" indent="0" shrinkToFit="false"/>
      <protection locked="true" hidden="false"/>
    </xf>
    <xf numFmtId="164" fontId="5" fillId="0" borderId="11" xfId="0" applyFont="true" applyBorder="true" applyAlignment="true" applyProtection="true">
      <alignment horizontal="center" vertical="top" textRotation="0" wrapText="true" indent="0" shrinkToFit="false"/>
      <protection locked="true" hidden="false"/>
    </xf>
    <xf numFmtId="164" fontId="5" fillId="0" borderId="11" xfId="0" applyFont="true" applyBorder="true" applyAlignment="true" applyProtection="true">
      <alignment horizontal="left" vertical="top" textRotation="0" wrapText="true" indent="0" shrinkToFit="false"/>
      <protection locked="true" hidden="false"/>
    </xf>
    <xf numFmtId="164" fontId="5" fillId="0" borderId="11" xfId="0" applyFont="true" applyBorder="true" applyAlignment="true" applyProtection="true">
      <alignment horizontal="center" vertical="center" textRotation="0" wrapText="true" indent="0" shrinkToFit="false"/>
      <protection locked="true" hidden="false"/>
    </xf>
    <xf numFmtId="164" fontId="21" fillId="0" borderId="11" xfId="0" applyFont="true" applyBorder="true" applyAlignment="true" applyProtection="true">
      <alignment horizontal="left" vertical="center" textRotation="0" wrapText="true" indent="0" shrinkToFit="false"/>
      <protection locked="true" hidden="false"/>
    </xf>
    <xf numFmtId="164" fontId="21" fillId="0" borderId="11" xfId="0" applyFont="true" applyBorder="true" applyAlignment="true" applyProtection="true">
      <alignment horizontal="center" vertical="center" textRotation="0" wrapText="true" indent="0" shrinkToFit="false"/>
      <protection locked="true" hidden="false"/>
    </xf>
    <xf numFmtId="164" fontId="14" fillId="0" borderId="11" xfId="0" applyFont="true" applyBorder="true" applyAlignment="true" applyProtection="true">
      <alignment horizontal="center" vertical="center" textRotation="0" wrapText="true" indent="0" shrinkToFit="false"/>
      <protection locked="true" hidden="false"/>
    </xf>
    <xf numFmtId="164" fontId="8" fillId="0" borderId="4" xfId="0" applyFont="true" applyBorder="true" applyAlignment="true" applyProtection="true">
      <alignment horizontal="left" vertical="top" textRotation="0" wrapText="true" indent="0" shrinkToFit="false"/>
      <protection locked="true" hidden="false"/>
    </xf>
    <xf numFmtId="164" fontId="5" fillId="0" borderId="1" xfId="0" applyFont="true" applyBorder="true" applyAlignment="true" applyProtection="true">
      <alignment horizontal="center" vertical="top" textRotation="0" wrapText="true" indent="0" shrinkToFit="false"/>
      <protection locked="true" hidden="false"/>
    </xf>
    <xf numFmtId="164" fontId="5" fillId="0" borderId="1" xfId="0" applyFont="true" applyBorder="true" applyAlignment="true" applyProtection="true">
      <alignment horizontal="left" vertical="top" textRotation="0" wrapText="true" indent="0" shrinkToFit="false"/>
      <protection locked="true" hidden="false"/>
    </xf>
    <xf numFmtId="164" fontId="5" fillId="0" borderId="1" xfId="0" applyFont="true" applyBorder="true" applyAlignment="true" applyProtection="true">
      <alignment horizontal="center" vertical="center" textRotation="0" wrapText="true" indent="0" shrinkToFit="false"/>
      <protection locked="true" hidden="false"/>
    </xf>
    <xf numFmtId="164" fontId="8" fillId="2" borderId="1" xfId="0" applyFont="true" applyBorder="true" applyAlignment="true" applyProtection="true">
      <alignment horizontal="left" vertical="center" textRotation="0" wrapText="true" indent="0" shrinkToFit="false"/>
      <protection locked="true" hidden="false"/>
    </xf>
    <xf numFmtId="164" fontId="21" fillId="5" borderId="1" xfId="0" applyFont="true" applyBorder="true" applyAlignment="true" applyProtection="true">
      <alignment horizontal="center" vertical="top" textRotation="0" wrapText="true" indent="0" shrinkToFit="false"/>
      <protection locked="true" hidden="false"/>
    </xf>
    <xf numFmtId="164" fontId="21" fillId="0" borderId="1" xfId="0" applyFont="true" applyBorder="true" applyAlignment="true" applyProtection="true">
      <alignment horizontal="general" vertical="center" textRotation="0" wrapText="true" indent="0" shrinkToFit="false"/>
      <protection locked="true" hidden="false"/>
    </xf>
    <xf numFmtId="164" fontId="21" fillId="0" borderId="15" xfId="0" applyFont="true" applyBorder="true" applyAlignment="true" applyProtection="true">
      <alignment horizontal="center" vertical="top" textRotation="0" wrapText="true" indent="0" shrinkToFit="false"/>
      <protection locked="true" hidden="false"/>
    </xf>
    <xf numFmtId="164" fontId="21" fillId="0" borderId="15" xfId="0" applyFont="true" applyBorder="true" applyAlignment="true" applyProtection="true">
      <alignment horizontal="left" vertical="top" textRotation="0" wrapText="true" indent="0" shrinkToFit="false"/>
      <protection locked="true" hidden="false"/>
    </xf>
    <xf numFmtId="164" fontId="21" fillId="0" borderId="15" xfId="0" applyFont="true" applyBorder="true" applyAlignment="true" applyProtection="true">
      <alignment horizontal="center" vertical="center" textRotation="0" wrapText="true" indent="0" shrinkToFit="false"/>
      <protection locked="true" hidden="false"/>
    </xf>
    <xf numFmtId="164" fontId="5" fillId="0" borderId="1" xfId="0" applyFont="true" applyBorder="true" applyAlignment="true" applyProtection="true">
      <alignment horizontal="general" vertical="center" textRotation="0" wrapText="true" indent="0" shrinkToFit="false"/>
      <protection locked="true" hidden="false"/>
    </xf>
    <xf numFmtId="164" fontId="14" fillId="0" borderId="15" xfId="0" applyFont="true" applyBorder="true" applyAlignment="true" applyProtection="true">
      <alignment horizontal="left" vertical="center" textRotation="0" wrapText="true" indent="0" shrinkToFit="false"/>
      <protection locked="true" hidden="false"/>
    </xf>
    <xf numFmtId="164" fontId="21" fillId="0" borderId="8" xfId="0" applyFont="true" applyBorder="true" applyAlignment="true" applyProtection="true">
      <alignment horizontal="center" vertical="center" textRotation="0" wrapText="true" indent="0" shrinkToFit="false"/>
      <protection locked="true" hidden="false"/>
    </xf>
    <xf numFmtId="164" fontId="21" fillId="0" borderId="15" xfId="0" applyFont="true" applyBorder="true" applyAlignment="true" applyProtection="true">
      <alignment horizontal="left" vertical="center" textRotation="0" wrapText="true" indent="0" shrinkToFit="false"/>
      <protection locked="true" hidden="false"/>
    </xf>
    <xf numFmtId="164" fontId="14" fillId="3" borderId="1" xfId="0" applyFont="true" applyBorder="true" applyAlignment="true" applyProtection="true">
      <alignment horizontal="general" vertical="center" textRotation="0" wrapText="true" indent="0" shrinkToFit="false"/>
      <protection locked="true" hidden="false"/>
    </xf>
    <xf numFmtId="164" fontId="21" fillId="0" borderId="10" xfId="0" applyFont="true" applyBorder="true" applyAlignment="true" applyProtection="true">
      <alignment horizontal="center" vertical="center" textRotation="0" wrapText="true" indent="0" shrinkToFit="false"/>
      <protection locked="true" hidden="false"/>
    </xf>
    <xf numFmtId="164" fontId="21" fillId="0" borderId="15" xfId="0" applyFont="true" applyBorder="true" applyAlignment="true" applyProtection="true">
      <alignment horizontal="general" vertical="center" textRotation="0" wrapText="true" indent="0" shrinkToFit="false"/>
      <protection locked="true" hidden="false"/>
    </xf>
    <xf numFmtId="164" fontId="21" fillId="0" borderId="16" xfId="0" applyFont="true" applyBorder="true" applyAlignment="true" applyProtection="true">
      <alignment horizontal="center" vertical="top" textRotation="0" wrapText="true" indent="0" shrinkToFit="false"/>
      <protection locked="true" hidden="false"/>
    </xf>
    <xf numFmtId="164" fontId="21" fillId="0" borderId="16" xfId="0" applyFont="true" applyBorder="true" applyAlignment="true" applyProtection="true">
      <alignment horizontal="left" vertical="top" textRotation="0" wrapText="true" indent="0" shrinkToFit="false"/>
      <protection locked="true" hidden="false"/>
    </xf>
    <xf numFmtId="164" fontId="21" fillId="0" borderId="16" xfId="0" applyFont="true" applyBorder="true" applyAlignment="true" applyProtection="true">
      <alignment horizontal="center" vertical="center" textRotation="0" wrapText="true" indent="0" shrinkToFit="false"/>
      <protection locked="true" hidden="false"/>
    </xf>
    <xf numFmtId="164" fontId="21" fillId="0" borderId="16" xfId="0" applyFont="true" applyBorder="true" applyAlignment="true" applyProtection="true">
      <alignment horizontal="general" vertical="center" textRotation="0" wrapText="true" indent="0" shrinkToFit="false"/>
      <protection locked="true" hidden="false"/>
    </xf>
    <xf numFmtId="164" fontId="21" fillId="0" borderId="16" xfId="0" applyFont="true" applyBorder="true" applyAlignment="true" applyProtection="true">
      <alignment horizontal="left" vertical="center" textRotation="0" wrapText="true" indent="0" shrinkToFit="false"/>
      <protection locked="true" hidden="false"/>
    </xf>
    <xf numFmtId="164" fontId="14" fillId="0" borderId="15" xfId="0" applyFont="true" applyBorder="true" applyAlignment="true" applyProtection="true">
      <alignment horizontal="left" vertical="top" textRotation="0" wrapText="true" indent="0" shrinkToFit="false"/>
      <protection locked="true" hidden="false"/>
    </xf>
    <xf numFmtId="164" fontId="8" fillId="0" borderId="1" xfId="0" applyFont="true" applyBorder="true" applyAlignment="true" applyProtection="true">
      <alignment horizontal="left" vertical="top" textRotation="0" wrapText="true" indent="0" shrinkToFit="false"/>
      <protection locked="true" hidden="false"/>
    </xf>
    <xf numFmtId="164" fontId="8" fillId="0" borderId="11" xfId="0" applyFont="true" applyBorder="true" applyAlignment="true" applyProtection="true">
      <alignment horizontal="left" vertical="top" textRotation="0" wrapText="true" indent="0" shrinkToFit="false"/>
      <protection locked="true" hidden="false"/>
    </xf>
    <xf numFmtId="164" fontId="14" fillId="5" borderId="15" xfId="0" applyFont="true" applyBorder="true" applyAlignment="true" applyProtection="true">
      <alignment horizontal="left" vertical="center" textRotation="0" wrapText="true" indent="0" shrinkToFit="false"/>
      <protection locked="true" hidden="false"/>
    </xf>
    <xf numFmtId="164" fontId="21" fillId="5" borderId="15" xfId="0" applyFont="true" applyBorder="true" applyAlignment="true" applyProtection="true">
      <alignment horizontal="center" vertical="center" textRotation="0" wrapText="true" indent="0" shrinkToFit="false"/>
      <protection locked="true" hidden="false"/>
    </xf>
    <xf numFmtId="166" fontId="5" fillId="2" borderId="17" xfId="0" applyFont="true" applyBorder="true" applyAlignment="true" applyProtection="true">
      <alignment horizontal="center" vertical="center" textRotation="0" wrapText="true" indent="0" shrinkToFit="false"/>
      <protection locked="true" hidden="false"/>
    </xf>
    <xf numFmtId="164" fontId="5" fillId="2" borderId="17" xfId="0" applyFont="true" applyBorder="true" applyAlignment="true" applyProtection="true">
      <alignment horizontal="left" vertical="center" textRotation="0" wrapText="true" indent="0" shrinkToFit="false"/>
      <protection locked="true" hidden="false"/>
    </xf>
    <xf numFmtId="164" fontId="21" fillId="2" borderId="17" xfId="0" applyFont="true" applyBorder="true" applyAlignment="true" applyProtection="true">
      <alignment horizontal="center" vertical="center" textRotation="0" wrapText="true" indent="0" shrinkToFit="false"/>
      <protection locked="true" hidden="false"/>
    </xf>
    <xf numFmtId="164" fontId="21" fillId="2" borderId="17" xfId="0" applyFont="true" applyBorder="true" applyAlignment="true" applyProtection="true">
      <alignment horizontal="left" vertical="center" textRotation="0" wrapText="true" indent="0" shrinkToFit="false"/>
      <protection locked="true" hidden="false"/>
    </xf>
    <xf numFmtId="164" fontId="20" fillId="6" borderId="8" xfId="0" applyFont="true" applyBorder="true" applyAlignment="true" applyProtection="true">
      <alignment horizontal="center" vertical="center" textRotation="0" wrapText="true" indent="0" shrinkToFit="false"/>
      <protection locked="true" hidden="false"/>
    </xf>
    <xf numFmtId="164" fontId="17" fillId="6" borderId="9" xfId="0" applyFont="true" applyBorder="true" applyAlignment="true" applyProtection="true">
      <alignment horizontal="center" vertical="center" textRotation="0" wrapText="true" indent="0" shrinkToFit="false"/>
      <protection locked="true" hidden="false"/>
    </xf>
    <xf numFmtId="164" fontId="20" fillId="6" borderId="9" xfId="0" applyFont="true" applyBorder="true" applyAlignment="true" applyProtection="true">
      <alignment horizontal="center" vertical="center" textRotation="0" wrapText="true" indent="0" shrinkToFit="false"/>
      <protection locked="true" hidden="false"/>
    </xf>
    <xf numFmtId="164" fontId="20" fillId="6" borderId="10" xfId="0" applyFont="true" applyBorder="true" applyAlignment="true" applyProtection="true">
      <alignment horizontal="center" vertical="center" textRotation="0" wrapText="true" indent="0" shrinkToFit="false"/>
      <protection locked="true" hidden="false"/>
    </xf>
    <xf numFmtId="164" fontId="22" fillId="0" borderId="0" xfId="0" applyFont="true" applyBorder="true" applyAlignment="true" applyProtection="true">
      <alignment horizontal="center" vertical="center" textRotation="0" wrapText="false" indent="0" shrinkToFit="false"/>
      <protection locked="true" hidden="false"/>
    </xf>
    <xf numFmtId="164" fontId="23" fillId="0" borderId="2" xfId="0" applyFont="true" applyBorder="true" applyAlignment="true" applyProtection="true">
      <alignment horizontal="center" vertical="center" textRotation="0" wrapText="false" indent="0" shrinkToFit="false"/>
      <protection locked="true" hidden="false"/>
    </xf>
    <xf numFmtId="164" fontId="24" fillId="0" borderId="2" xfId="0" applyFont="true" applyBorder="true" applyAlignment="true" applyProtection="true">
      <alignment horizontal="center" vertical="center" textRotation="0" wrapText="false" indent="0" shrinkToFit="false"/>
      <protection locked="true" hidden="false"/>
    </xf>
    <xf numFmtId="164" fontId="24" fillId="0" borderId="2" xfId="0" applyFont="true" applyBorder="true" applyAlignment="true" applyProtection="true">
      <alignment horizontal="left" vertical="center" textRotation="0" wrapText="false" indent="0" shrinkToFit="false"/>
      <protection locked="true" hidden="false"/>
    </xf>
    <xf numFmtId="167" fontId="24" fillId="0" borderId="2" xfId="0" applyFont="true" applyBorder="true" applyAlignment="true" applyProtection="true">
      <alignment horizontal="center" vertical="center" textRotation="0" wrapText="false" indent="0" shrinkToFit="false"/>
      <protection locked="true" hidden="false"/>
    </xf>
    <xf numFmtId="164" fontId="24" fillId="0" borderId="2" xfId="0" applyFont="true" applyBorder="true" applyAlignment="true" applyProtection="true">
      <alignment horizontal="left" vertical="center" textRotation="0" wrapText="true" indent="0" shrinkToFit="false"/>
      <protection locked="true" hidden="false"/>
    </xf>
    <xf numFmtId="164" fontId="25" fillId="0" borderId="2" xfId="0" applyFont="true" applyBorder="true" applyAlignment="true" applyProtection="true">
      <alignment horizontal="left" vertical="center" textRotation="0" wrapText="true" indent="0" shrinkToFit="false"/>
      <protection locked="true" hidden="false"/>
    </xf>
    <xf numFmtId="164" fontId="25" fillId="0" borderId="2" xfId="0" applyFont="true" applyBorder="true" applyAlignment="true" applyProtection="tru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DEE0E3"/>
          <bgColor rgb="FF000000"/>
        </patternFill>
      </fill>
    </dxf>
    <dxf>
      <fill>
        <patternFill patternType="solid">
          <fgColor rgb="FFFFF2CC"/>
          <bgColor rgb="FF000000"/>
        </patternFill>
      </fill>
    </dxf>
    <dxf>
      <fill>
        <patternFill patternType="solid">
          <bgColor rgb="FF000000"/>
        </patternFill>
      </fill>
    </dxf>
    <dxf>
      <fill>
        <patternFill patternType="solid">
          <fgColor rgb="FF1F2329"/>
          <bgColor rgb="FF000000"/>
        </patternFill>
      </fill>
    </dxf>
    <dxf>
      <fill>
        <patternFill patternType="solid">
          <fgColor rgb="FFC9211E"/>
          <bgColor rgb="FF000000"/>
        </patternFill>
      </fill>
    </dxf>
    <dxf>
      <fill>
        <patternFill patternType="solid">
          <fgColor rgb="FFFFFF00"/>
          <bgColor rgb="FF000000"/>
        </patternFill>
      </fill>
    </dxf>
    <dxf>
      <fill>
        <patternFill patternType="solid">
          <fgColor rgb="FF8F959E"/>
          <bgColor rgb="FF000000"/>
        </patternFill>
      </fill>
    </dxf>
  </dxfs>
  <colors>
    <indexedColors>
      <rgbColor rgb="FF000000"/>
      <rgbColor rgb="FFF8F9FA"/>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DEE0E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8F959E"/>
      <rgbColor rgb="FF003366"/>
      <rgbColor rgb="FF339966"/>
      <rgbColor rgb="FF003300"/>
      <rgbColor rgb="FF333300"/>
      <rgbColor rgb="FFC9211E"/>
      <rgbColor rgb="FF993366"/>
      <rgbColor rgb="FF333399"/>
      <rgbColor rgb="FF1F2329"/>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主题​​">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itchFamily="0" charset="1"/>
        <a:ea typeface=""/>
        <a:cs typeface=""/>
      </a:majorFont>
      <a:minorFont>
        <a:latin typeface="Calibri"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11"/>
  <sheetViews>
    <sheetView showFormulas="false" showGridLines="false" showRowColHeaders="true" showZeros="true" rightToLeft="false" tabSelected="false" showOutlineSymbols="true" defaultGridColor="true" view="normal" topLeftCell="A1" colorId="64" zoomScale="75" zoomScaleNormal="75" zoomScalePageLayoutView="100" workbookViewId="0">
      <selection pane="topLeft" activeCell="J3" activeCellId="0" sqref="J3"/>
    </sheetView>
  </sheetViews>
  <sheetFormatPr defaultColWidth="14.3828125" defaultRowHeight="16.5" zeroHeight="false" outlineLevelRow="0" outlineLevelCol="0"/>
  <cols>
    <col collapsed="false" customWidth="true" hidden="false" outlineLevel="0" max="1" min="1" style="1" width="5.13"/>
    <col collapsed="false" customWidth="true" hidden="false" outlineLevel="0" max="2" min="2" style="1" width="27.73"/>
    <col collapsed="false" customWidth="true" hidden="false" outlineLevel="0" max="3" min="3" style="1" width="82.16"/>
    <col collapsed="false" customWidth="false" hidden="false" outlineLevel="0" max="16384" min="4" style="1" width="14.38"/>
  </cols>
  <sheetData>
    <row r="1" customFormat="false" ht="46" hidden="false" customHeight="true" outlineLevel="0" collapsed="false">
      <c r="A1" s="2"/>
      <c r="B1" s="3" t="s">
        <v>0</v>
      </c>
      <c r="C1" s="3"/>
    </row>
    <row r="2" customFormat="false" ht="46" hidden="false" customHeight="true" outlineLevel="0" collapsed="false">
      <c r="A2" s="4"/>
      <c r="B2" s="5" t="s">
        <v>1</v>
      </c>
      <c r="C2" s="5"/>
    </row>
    <row r="3" customFormat="false" ht="37" hidden="false" customHeight="true" outlineLevel="0" collapsed="false">
      <c r="A3" s="6"/>
      <c r="B3" s="7" t="s">
        <v>2</v>
      </c>
      <c r="C3" s="7"/>
    </row>
    <row r="4" customFormat="false" ht="38.15" hidden="false" customHeight="true" outlineLevel="0" collapsed="false">
      <c r="A4" s="6"/>
      <c r="B4" s="7" t="s">
        <v>3</v>
      </c>
      <c r="C4" s="7" t="s">
        <v>4</v>
      </c>
    </row>
    <row r="5" customFormat="false" ht="37" hidden="false" customHeight="true" outlineLevel="0" collapsed="false">
      <c r="A5" s="6"/>
      <c r="B5" s="8" t="s">
        <v>5</v>
      </c>
      <c r="C5" s="8" t="s">
        <v>6</v>
      </c>
    </row>
    <row r="6" customFormat="false" ht="38.15" hidden="false" customHeight="true" outlineLevel="0" collapsed="false">
      <c r="A6" s="6"/>
      <c r="B6" s="8" t="s">
        <v>7</v>
      </c>
      <c r="C6" s="8" t="s">
        <v>8</v>
      </c>
    </row>
    <row r="7" customFormat="false" ht="38.15" hidden="false" customHeight="true" outlineLevel="0" collapsed="false">
      <c r="A7" s="6"/>
      <c r="B7" s="8" t="s">
        <v>9</v>
      </c>
      <c r="C7" s="8" t="s">
        <v>10</v>
      </c>
    </row>
    <row r="8" customFormat="false" ht="38.15" hidden="false" customHeight="true" outlineLevel="0" collapsed="false">
      <c r="A8" s="6"/>
      <c r="B8" s="8" t="s">
        <v>11</v>
      </c>
      <c r="C8" s="8" t="s">
        <v>12</v>
      </c>
    </row>
    <row r="9" customFormat="false" ht="38.15" hidden="false" customHeight="true" outlineLevel="0" collapsed="false">
      <c r="A9" s="6"/>
      <c r="B9" s="8" t="s">
        <v>13</v>
      </c>
      <c r="C9" s="8" t="s">
        <v>14</v>
      </c>
    </row>
    <row r="10" customFormat="false" ht="38.15" hidden="false" customHeight="true" outlineLevel="0" collapsed="false">
      <c r="A10" s="6"/>
      <c r="B10" s="8" t="s">
        <v>15</v>
      </c>
      <c r="C10" s="8" t="s">
        <v>16</v>
      </c>
    </row>
    <row r="11" customFormat="false" ht="37" hidden="false" customHeight="true" outlineLevel="0" collapsed="false">
      <c r="A11" s="6"/>
      <c r="B11" s="8" t="s">
        <v>17</v>
      </c>
      <c r="C11" s="8" t="s">
        <v>18</v>
      </c>
    </row>
  </sheetData>
  <mergeCells count="3">
    <mergeCell ref="B1:C1"/>
    <mergeCell ref="B2:C2"/>
    <mergeCell ref="B3:C3"/>
  </mergeCells>
  <printOptions headings="false" gridLines="false" gridLinesSet="true" horizontalCentered="false" verticalCentered="false"/>
  <pageMargins left="0.7" right="0.7" top="0.611111111111111" bottom="0.75" header="0.3"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C30"/>
  <sheetViews>
    <sheetView showFormulas="false" showGridLines="false" showRowColHeaders="true" showZeros="true" rightToLeft="false" tabSelected="false" showOutlineSymbols="true" defaultGridColor="true" view="normal" topLeftCell="A1" colorId="64" zoomScale="75" zoomScaleNormal="75" zoomScalePageLayoutView="100" workbookViewId="0">
      <selection pane="topLeft" activeCell="B3" activeCellId="0" sqref="B3"/>
    </sheetView>
  </sheetViews>
  <sheetFormatPr defaultColWidth="14.3828125" defaultRowHeight="16.5" zeroHeight="false" outlineLevelRow="0" outlineLevelCol="0"/>
  <cols>
    <col collapsed="false" customWidth="true" hidden="false" outlineLevel="0" max="1" min="1" style="1" width="4.11"/>
    <col collapsed="false" customWidth="true" hidden="false" outlineLevel="0" max="2" min="2" style="1" width="12.97"/>
    <col collapsed="false" customWidth="true" hidden="false" outlineLevel="0" max="3" min="3" style="1" width="99.81"/>
    <col collapsed="false" customWidth="false" hidden="false" outlineLevel="0" max="16384" min="4" style="1" width="14.38"/>
  </cols>
  <sheetData>
    <row r="1" customFormat="false" ht="35.15" hidden="false" customHeight="true" outlineLevel="0" collapsed="false">
      <c r="B1" s="9" t="s">
        <v>19</v>
      </c>
      <c r="C1" s="9"/>
    </row>
    <row r="2" customFormat="false" ht="29.15" hidden="false" customHeight="true" outlineLevel="0" collapsed="false">
      <c r="B2" s="10" t="s">
        <v>20</v>
      </c>
      <c r="C2" s="10"/>
    </row>
    <row r="3" customFormat="false" ht="43" hidden="false" customHeight="true" outlineLevel="0" collapsed="false">
      <c r="B3" s="11"/>
      <c r="C3" s="11"/>
    </row>
    <row r="4" customFormat="false" ht="30.75" hidden="false" customHeight="true" outlineLevel="0" collapsed="false">
      <c r="B4" s="12" t="s">
        <v>21</v>
      </c>
      <c r="C4" s="12"/>
    </row>
    <row r="5" customFormat="false" ht="29.15" hidden="false" customHeight="true" outlineLevel="0" collapsed="false">
      <c r="B5" s="13" t="s">
        <v>22</v>
      </c>
      <c r="C5" s="13"/>
    </row>
    <row r="6" customFormat="false" ht="43" hidden="false" customHeight="true" outlineLevel="0" collapsed="false">
      <c r="B6" s="14" t="s">
        <v>23</v>
      </c>
      <c r="C6" s="14"/>
    </row>
    <row r="7" customFormat="false" ht="29.15" hidden="false" customHeight="true" outlineLevel="0" collapsed="false">
      <c r="B7" s="14"/>
      <c r="C7" s="14"/>
    </row>
    <row r="8" customFormat="false" ht="29.15" hidden="false" customHeight="true" outlineLevel="0" collapsed="false">
      <c r="B8" s="13" t="s">
        <v>24</v>
      </c>
      <c r="C8" s="13"/>
    </row>
    <row r="9" customFormat="false" ht="29.15" hidden="false" customHeight="true" outlineLevel="0" collapsed="false">
      <c r="B9" s="14" t="s">
        <v>25</v>
      </c>
      <c r="C9" s="14" t="s">
        <v>26</v>
      </c>
    </row>
    <row r="10" customFormat="false" ht="29.15" hidden="false" customHeight="true" outlineLevel="0" collapsed="false">
      <c r="B10" s="14" t="s">
        <v>27</v>
      </c>
      <c r="C10" s="14" t="s">
        <v>28</v>
      </c>
    </row>
    <row r="11" customFormat="false" ht="19.5" hidden="false" customHeight="true" outlineLevel="0" collapsed="false">
      <c r="B11" s="14"/>
      <c r="C11" s="14"/>
    </row>
    <row r="12" customFormat="false" ht="29.15" hidden="false" customHeight="true" outlineLevel="0" collapsed="false">
      <c r="B12" s="15" t="s">
        <v>29</v>
      </c>
      <c r="C12" s="15"/>
    </row>
    <row r="13" customFormat="false" ht="29.15" hidden="false" customHeight="true" outlineLevel="0" collapsed="false">
      <c r="B13" s="14" t="s">
        <v>30</v>
      </c>
      <c r="C13" s="14" t="s">
        <v>31</v>
      </c>
    </row>
    <row r="14" customFormat="false" ht="29.15" hidden="false" customHeight="true" outlineLevel="0" collapsed="false">
      <c r="B14" s="14" t="s">
        <v>32</v>
      </c>
      <c r="C14" s="14" t="s">
        <v>33</v>
      </c>
    </row>
    <row r="15" customFormat="false" ht="29.15" hidden="false" customHeight="true" outlineLevel="0" collapsed="false">
      <c r="B15" s="14" t="s">
        <v>34</v>
      </c>
      <c r="C15" s="14" t="s">
        <v>35</v>
      </c>
    </row>
    <row r="16" customFormat="false" ht="29.15" hidden="false" customHeight="true" outlineLevel="0" collapsed="false">
      <c r="B16" s="14" t="s">
        <v>36</v>
      </c>
      <c r="C16" s="14" t="s">
        <v>37</v>
      </c>
    </row>
    <row r="17" customFormat="false" ht="29.15" hidden="false" customHeight="true" outlineLevel="0" collapsed="false">
      <c r="B17" s="14" t="s">
        <v>38</v>
      </c>
      <c r="C17" s="14" t="s">
        <v>39</v>
      </c>
    </row>
    <row r="18" customFormat="false" ht="29.15" hidden="false" customHeight="true" outlineLevel="0" collapsed="false">
      <c r="B18" s="14" t="s">
        <v>40</v>
      </c>
      <c r="C18" s="14" t="s">
        <v>41</v>
      </c>
    </row>
    <row r="19" customFormat="false" ht="29.15" hidden="false" customHeight="true" outlineLevel="0" collapsed="false">
      <c r="B19" s="14" t="s">
        <v>42</v>
      </c>
      <c r="C19" s="14" t="s">
        <v>43</v>
      </c>
    </row>
    <row r="20" customFormat="false" ht="29.15" hidden="false" customHeight="true" outlineLevel="0" collapsed="false">
      <c r="B20" s="14" t="s">
        <v>44</v>
      </c>
      <c r="C20" s="14" t="s">
        <v>45</v>
      </c>
    </row>
    <row r="21" customFormat="false" ht="29.15" hidden="false" customHeight="true" outlineLevel="0" collapsed="false">
      <c r="B21" s="14" t="s">
        <v>46</v>
      </c>
      <c r="C21" s="14" t="s">
        <v>47</v>
      </c>
    </row>
    <row r="22" customFormat="false" ht="18.75" hidden="false" customHeight="true" outlineLevel="0" collapsed="false">
      <c r="B22" s="14"/>
      <c r="C22" s="14"/>
    </row>
    <row r="23" customFormat="false" ht="29.15" hidden="false" customHeight="true" outlineLevel="0" collapsed="false">
      <c r="B23" s="15" t="s">
        <v>48</v>
      </c>
      <c r="C23" s="15"/>
    </row>
    <row r="24" customFormat="false" ht="46.25" hidden="false" customHeight="false" outlineLevel="0" collapsed="false">
      <c r="B24" s="14" t="s">
        <v>49</v>
      </c>
      <c r="C24" s="14" t="s">
        <v>50</v>
      </c>
    </row>
    <row r="25" customFormat="false" ht="46.25" hidden="false" customHeight="false" outlineLevel="0" collapsed="false">
      <c r="B25" s="16" t="s">
        <v>51</v>
      </c>
      <c r="C25" s="16" t="s">
        <v>52</v>
      </c>
    </row>
    <row r="26" customFormat="false" ht="47.25" hidden="false" customHeight="true" outlineLevel="0" collapsed="false">
      <c r="B26" s="14" t="s">
        <v>53</v>
      </c>
      <c r="C26" s="14" t="s">
        <v>54</v>
      </c>
    </row>
    <row r="27" customFormat="false" ht="46.25" hidden="false" customHeight="false" outlineLevel="0" collapsed="false">
      <c r="B27" s="14" t="s">
        <v>55</v>
      </c>
      <c r="C27" s="14" t="s">
        <v>56</v>
      </c>
    </row>
    <row r="28" customFormat="false" ht="29.25" hidden="false" customHeight="true" outlineLevel="0" collapsed="false">
      <c r="B28" s="17" t="s">
        <v>57</v>
      </c>
      <c r="C28" s="17"/>
    </row>
    <row r="29" customFormat="false" ht="29.25" hidden="false" customHeight="true" outlineLevel="0" collapsed="false">
      <c r="B29" s="10" t="s">
        <v>58</v>
      </c>
      <c r="C29" s="10"/>
    </row>
    <row r="30" customFormat="false" ht="29.25" hidden="false" customHeight="true" outlineLevel="0" collapsed="false">
      <c r="B30" s="11" t="s">
        <v>59</v>
      </c>
      <c r="C30" s="11"/>
    </row>
  </sheetData>
  <mergeCells count="15">
    <mergeCell ref="B1:C1"/>
    <mergeCell ref="B2:C2"/>
    <mergeCell ref="B3:C3"/>
    <mergeCell ref="B4:C4"/>
    <mergeCell ref="B5:C5"/>
    <mergeCell ref="B6:C6"/>
    <mergeCell ref="B7:C7"/>
    <mergeCell ref="B8:C8"/>
    <mergeCell ref="B11:C11"/>
    <mergeCell ref="B12:C12"/>
    <mergeCell ref="B22:C22"/>
    <mergeCell ref="B23:C23"/>
    <mergeCell ref="B28:C28"/>
    <mergeCell ref="B29:C29"/>
    <mergeCell ref="B30:C30"/>
  </mergeCells>
  <printOptions headings="false" gridLines="false" gridLinesSet="true" horizontalCentered="false" verticalCentered="false"/>
  <pageMargins left="0.7" right="0.7" top="0.611111111111111" bottom="0.75" header="0.3" footer="0.511811023622047"/>
  <pageSetup paperSize="9" scale="82"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9"/>
  <sheetViews>
    <sheetView showFormulas="false" showGridLines="false" showRowColHeaders="true" showZeros="true" rightToLeft="false" tabSelected="false" showOutlineSymbols="true" defaultGridColor="true" view="normal" topLeftCell="A1" colorId="64" zoomScale="75" zoomScaleNormal="75" zoomScalePageLayoutView="100" workbookViewId="0">
      <selection pane="topLeft" activeCell="D64" activeCellId="0" sqref="D64"/>
    </sheetView>
  </sheetViews>
  <sheetFormatPr defaultColWidth="14.3828125" defaultRowHeight="16.5" zeroHeight="false" outlineLevelRow="0" outlineLevelCol="0"/>
  <cols>
    <col collapsed="false" customWidth="true" hidden="false" outlineLevel="0" max="1" min="1" style="18" width="15.4"/>
    <col collapsed="false" customWidth="true" hidden="false" outlineLevel="0" max="3" min="2" style="1" width="27.73"/>
    <col collapsed="false" customWidth="true" hidden="false" outlineLevel="0" max="4" min="4" style="1" width="51.91"/>
    <col collapsed="false" customWidth="true" hidden="false" outlineLevel="0" max="5" min="5" style="1" width="5.6"/>
    <col collapsed="false" customWidth="false" hidden="false" outlineLevel="0" max="16384" min="6" style="1" width="14.38"/>
  </cols>
  <sheetData>
    <row r="1" customFormat="false" ht="36" hidden="false" customHeight="true" outlineLevel="0" collapsed="false">
      <c r="A1" s="19" t="s">
        <v>60</v>
      </c>
      <c r="B1" s="19"/>
      <c r="C1" s="19"/>
      <c r="D1" s="19"/>
    </row>
    <row r="2" customFormat="false" ht="36" hidden="false" customHeight="true" outlineLevel="0" collapsed="false">
      <c r="A2" s="7" t="s">
        <v>61</v>
      </c>
      <c r="B2" s="7" t="s">
        <v>62</v>
      </c>
      <c r="C2" s="7" t="s">
        <v>63</v>
      </c>
      <c r="D2" s="7" t="s">
        <v>64</v>
      </c>
    </row>
    <row r="3" customFormat="false" ht="36" hidden="false" customHeight="true" outlineLevel="0" collapsed="false">
      <c r="A3" s="20" t="s">
        <v>65</v>
      </c>
      <c r="B3" s="21" t="s">
        <v>35</v>
      </c>
      <c r="C3" s="21" t="s">
        <v>66</v>
      </c>
      <c r="D3" s="21" t="s">
        <v>67</v>
      </c>
    </row>
    <row r="4" customFormat="false" ht="36" hidden="false" customHeight="true" outlineLevel="0" collapsed="false">
      <c r="A4" s="20" t="s">
        <v>68</v>
      </c>
      <c r="B4" s="21" t="s">
        <v>69</v>
      </c>
      <c r="C4" s="21" t="s">
        <v>70</v>
      </c>
      <c r="D4" s="21" t="s">
        <v>71</v>
      </c>
    </row>
    <row r="5" customFormat="false" ht="36" hidden="false" customHeight="true" outlineLevel="0" collapsed="false">
      <c r="A5" s="20"/>
      <c r="B5" s="21" t="s">
        <v>72</v>
      </c>
      <c r="C5" s="21" t="s">
        <v>73</v>
      </c>
      <c r="D5" s="21" t="s">
        <v>74</v>
      </c>
    </row>
    <row r="6" customFormat="false" ht="36" hidden="false" customHeight="true" outlineLevel="0" collapsed="false">
      <c r="A6" s="20"/>
      <c r="B6" s="21" t="s">
        <v>75</v>
      </c>
      <c r="C6" s="21" t="s">
        <v>76</v>
      </c>
      <c r="D6" s="21" t="s">
        <v>77</v>
      </c>
    </row>
    <row r="7" customFormat="false" ht="36" hidden="false" customHeight="true" outlineLevel="0" collapsed="false">
      <c r="A7" s="20" t="s">
        <v>78</v>
      </c>
      <c r="B7" s="21" t="s">
        <v>79</v>
      </c>
      <c r="C7" s="21" t="s">
        <v>80</v>
      </c>
      <c r="D7" s="21" t="s">
        <v>81</v>
      </c>
    </row>
    <row r="8" customFormat="false" ht="36" hidden="false" customHeight="true" outlineLevel="0" collapsed="false">
      <c r="A8" s="20"/>
      <c r="B8" s="21" t="s">
        <v>82</v>
      </c>
      <c r="C8" s="21" t="s">
        <v>83</v>
      </c>
      <c r="D8" s="21" t="s">
        <v>84</v>
      </c>
    </row>
    <row r="9" customFormat="false" ht="36" hidden="false" customHeight="true" outlineLevel="0" collapsed="false">
      <c r="A9" s="20" t="s">
        <v>85</v>
      </c>
      <c r="B9" s="21" t="s">
        <v>86</v>
      </c>
      <c r="C9" s="21" t="s">
        <v>87</v>
      </c>
      <c r="D9" s="21" t="s">
        <v>88</v>
      </c>
    </row>
    <row r="10" customFormat="false" ht="36" hidden="false" customHeight="true" outlineLevel="0" collapsed="false">
      <c r="A10" s="20"/>
      <c r="B10" s="21" t="s">
        <v>89</v>
      </c>
      <c r="C10" s="21" t="s">
        <v>90</v>
      </c>
      <c r="D10" s="21" t="s">
        <v>91</v>
      </c>
    </row>
    <row r="11" customFormat="false" ht="36" hidden="false" customHeight="true" outlineLevel="0" collapsed="false">
      <c r="A11" s="20"/>
      <c r="B11" s="21" t="s">
        <v>92</v>
      </c>
      <c r="C11" s="21" t="s">
        <v>93</v>
      </c>
      <c r="D11" s="21" t="s">
        <v>94</v>
      </c>
    </row>
    <row r="12" customFormat="false" ht="36" hidden="false" customHeight="true" outlineLevel="0" collapsed="false">
      <c r="A12" s="20"/>
      <c r="B12" s="21" t="s">
        <v>95</v>
      </c>
      <c r="C12" s="21" t="s">
        <v>96</v>
      </c>
      <c r="D12" s="21" t="s">
        <v>97</v>
      </c>
    </row>
    <row r="13" customFormat="false" ht="36" hidden="false" customHeight="true" outlineLevel="0" collapsed="false">
      <c r="A13" s="20" t="s">
        <v>98</v>
      </c>
      <c r="B13" s="21" t="s">
        <v>99</v>
      </c>
      <c r="C13" s="21" t="s">
        <v>100</v>
      </c>
      <c r="D13" s="21" t="s">
        <v>101</v>
      </c>
    </row>
    <row r="14" customFormat="false" ht="36" hidden="false" customHeight="true" outlineLevel="0" collapsed="false">
      <c r="A14" s="20"/>
      <c r="B14" s="22" t="s">
        <v>102</v>
      </c>
      <c r="C14" s="22" t="s">
        <v>103</v>
      </c>
      <c r="D14" s="22" t="s">
        <v>104</v>
      </c>
    </row>
    <row r="15" customFormat="false" ht="36" hidden="false" customHeight="true" outlineLevel="0" collapsed="false">
      <c r="A15" s="20" t="s">
        <v>105</v>
      </c>
      <c r="B15" s="21" t="s">
        <v>106</v>
      </c>
      <c r="C15" s="21" t="s">
        <v>107</v>
      </c>
      <c r="D15" s="21" t="s">
        <v>108</v>
      </c>
    </row>
    <row r="16" customFormat="false" ht="36" hidden="false" customHeight="true" outlineLevel="0" collapsed="false">
      <c r="A16" s="20" t="s">
        <v>109</v>
      </c>
      <c r="B16" s="21" t="s">
        <v>110</v>
      </c>
      <c r="C16" s="21" t="s">
        <v>111</v>
      </c>
      <c r="D16" s="21" t="s">
        <v>112</v>
      </c>
    </row>
    <row r="17" customFormat="false" ht="36" hidden="false" customHeight="true" outlineLevel="0" collapsed="false">
      <c r="A17" s="20" t="s">
        <v>113</v>
      </c>
      <c r="B17" s="21" t="s">
        <v>114</v>
      </c>
      <c r="C17" s="21" t="s">
        <v>115</v>
      </c>
      <c r="D17" s="21" t="s">
        <v>116</v>
      </c>
    </row>
    <row r="18" customFormat="false" ht="36" hidden="false" customHeight="true" outlineLevel="0" collapsed="false">
      <c r="A18" s="20"/>
      <c r="B18" s="21" t="s">
        <v>117</v>
      </c>
      <c r="C18" s="21" t="s">
        <v>118</v>
      </c>
      <c r="D18" s="21" t="s">
        <v>119</v>
      </c>
    </row>
    <row r="19" customFormat="false" ht="42.75" hidden="false" customHeight="true" outlineLevel="0" collapsed="false">
      <c r="A19" s="20" t="s">
        <v>120</v>
      </c>
      <c r="B19" s="21" t="s">
        <v>121</v>
      </c>
      <c r="C19" s="21" t="s">
        <v>122</v>
      </c>
      <c r="D19" s="21" t="s">
        <v>123</v>
      </c>
    </row>
  </sheetData>
  <mergeCells count="6">
    <mergeCell ref="A1:D1"/>
    <mergeCell ref="A4:A6"/>
    <mergeCell ref="A7:A8"/>
    <mergeCell ref="A9:A12"/>
    <mergeCell ref="A13:A14"/>
    <mergeCell ref="A17:A18"/>
  </mergeCells>
  <printOptions headings="false" gridLines="false" gridLinesSet="true" horizontalCentered="false" verticalCentered="false"/>
  <pageMargins left="0.7" right="0.7" top="0.611111111111111" bottom="0.75" header="0.3" footer="0.511811023622047"/>
  <pageSetup paperSize="9" scale="78"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0"/>
  <sheetViews>
    <sheetView showFormulas="false" showGridLines="false" showRowColHeaders="true" showZeros="true" rightToLeft="false" tabSelected="false" showOutlineSymbols="true" defaultGridColor="true" view="normal" topLeftCell="A1" colorId="64" zoomScale="75" zoomScaleNormal="75" zoomScalePageLayoutView="100" workbookViewId="0">
      <selection pane="topLeft" activeCell="C9" activeCellId="0" sqref="C9"/>
    </sheetView>
  </sheetViews>
  <sheetFormatPr defaultColWidth="14.3828125" defaultRowHeight="16.5" zeroHeight="false" outlineLevelRow="0" outlineLevelCol="0"/>
  <cols>
    <col collapsed="false" customWidth="true" hidden="false" outlineLevel="0" max="5" min="1" style="1" width="20.73"/>
    <col collapsed="false" customWidth="true" hidden="false" outlineLevel="0" max="6" min="6" style="1" width="46.22"/>
    <col collapsed="false" customWidth="false" hidden="false" outlineLevel="0" max="16384" min="7" style="1" width="14.38"/>
  </cols>
  <sheetData>
    <row r="1" customFormat="false" ht="36" hidden="false" customHeight="true" outlineLevel="0" collapsed="false">
      <c r="A1" s="19" t="s">
        <v>124</v>
      </c>
      <c r="B1" s="19"/>
      <c r="C1" s="19"/>
      <c r="D1" s="19"/>
      <c r="E1" s="19"/>
      <c r="F1" s="19"/>
    </row>
    <row r="2" customFormat="false" ht="30.75" hidden="false" customHeight="true" outlineLevel="0" collapsed="false">
      <c r="A2" s="7" t="s">
        <v>61</v>
      </c>
      <c r="B2" s="7" t="s">
        <v>62</v>
      </c>
      <c r="C2" s="7" t="s">
        <v>125</v>
      </c>
      <c r="D2" s="7"/>
      <c r="E2" s="7" t="s">
        <v>126</v>
      </c>
      <c r="F2" s="7" t="s">
        <v>4</v>
      </c>
    </row>
    <row r="3" customFormat="false" ht="30.75" hidden="false" customHeight="true" outlineLevel="0" collapsed="false">
      <c r="A3" s="7"/>
      <c r="B3" s="7"/>
      <c r="C3" s="7" t="s">
        <v>127</v>
      </c>
      <c r="D3" s="7" t="s">
        <v>128</v>
      </c>
      <c r="E3" s="7"/>
      <c r="F3" s="7"/>
    </row>
    <row r="4" customFormat="false" ht="35.15" hidden="false" customHeight="true" outlineLevel="0" collapsed="false">
      <c r="A4" s="23" t="s">
        <v>129</v>
      </c>
      <c r="B4" s="23"/>
      <c r="C4" s="23"/>
      <c r="D4" s="23"/>
      <c r="E4" s="23"/>
      <c r="F4" s="23"/>
    </row>
    <row r="5" customFormat="false" ht="35.15" hidden="false" customHeight="true" outlineLevel="0" collapsed="false">
      <c r="A5" s="21" t="s">
        <v>130</v>
      </c>
      <c r="B5" s="21" t="s">
        <v>130</v>
      </c>
      <c r="C5" s="20" t="s">
        <v>131</v>
      </c>
      <c r="D5" s="20" t="s">
        <v>132</v>
      </c>
      <c r="E5" s="20" t="n">
        <f aca="false">HEX2DEC((RIGHT(D5,3)))-HEX2DEC((RIGHT(C5,3)))+1</f>
        <v>16</v>
      </c>
      <c r="F5" s="21" t="s">
        <v>133</v>
      </c>
    </row>
    <row r="6" customFormat="false" ht="35.15" hidden="false" customHeight="true" outlineLevel="0" collapsed="false">
      <c r="A6" s="24" t="s">
        <v>65</v>
      </c>
      <c r="B6" s="24" t="s">
        <v>65</v>
      </c>
      <c r="C6" s="20" t="s">
        <v>134</v>
      </c>
      <c r="D6" s="20" t="s">
        <v>135</v>
      </c>
      <c r="E6" s="20" t="n">
        <f aca="false">HEX2DEC((RIGHT(D6,3)))-HEX2DEC((RIGHT(C6,3)))+1</f>
        <v>16</v>
      </c>
      <c r="F6" s="21" t="s">
        <v>136</v>
      </c>
    </row>
    <row r="7" customFormat="false" ht="35.15" hidden="false" customHeight="true" outlineLevel="0" collapsed="false">
      <c r="A7" s="21" t="s">
        <v>68</v>
      </c>
      <c r="B7" s="24" t="s">
        <v>68</v>
      </c>
      <c r="C7" s="20" t="s">
        <v>137</v>
      </c>
      <c r="D7" s="20" t="s">
        <v>138</v>
      </c>
      <c r="E7" s="20" t="n">
        <f aca="false">HEX2DEC((RIGHT(D7,3)))-HEX2DEC((RIGHT(C7,3)))+1</f>
        <v>16</v>
      </c>
      <c r="F7" s="21" t="s">
        <v>139</v>
      </c>
    </row>
    <row r="8" customFormat="false" ht="35.15" hidden="false" customHeight="true" outlineLevel="0" collapsed="false">
      <c r="A8" s="24" t="s">
        <v>78</v>
      </c>
      <c r="B8" s="24" t="s">
        <v>78</v>
      </c>
      <c r="C8" s="20" t="s">
        <v>140</v>
      </c>
      <c r="D8" s="20" t="s">
        <v>141</v>
      </c>
      <c r="E8" s="20" t="n">
        <f aca="false">HEX2DEC((RIGHT(D8,3)))-HEX2DEC((RIGHT(C8,3)))+1</f>
        <v>16</v>
      </c>
      <c r="F8" s="21" t="s">
        <v>142</v>
      </c>
    </row>
    <row r="9" customFormat="false" ht="35.15" hidden="false" customHeight="true" outlineLevel="0" collapsed="false">
      <c r="A9" s="21" t="s">
        <v>85</v>
      </c>
      <c r="B9" s="24" t="s">
        <v>86</v>
      </c>
      <c r="C9" s="20" t="s">
        <v>143</v>
      </c>
      <c r="D9" s="20" t="s">
        <v>144</v>
      </c>
      <c r="E9" s="20" t="n">
        <f aca="false">HEX2DEC((RIGHT(D9,3)))-HEX2DEC((RIGHT(C9,3)))+1</f>
        <v>16</v>
      </c>
      <c r="F9" s="21" t="s">
        <v>145</v>
      </c>
    </row>
    <row r="10" customFormat="false" ht="35.15" hidden="false" customHeight="true" outlineLevel="0" collapsed="false">
      <c r="A10" s="21"/>
      <c r="B10" s="24" t="s">
        <v>89</v>
      </c>
      <c r="C10" s="20"/>
      <c r="D10" s="20"/>
      <c r="E10" s="20"/>
      <c r="F10" s="21" t="s">
        <v>146</v>
      </c>
    </row>
    <row r="11" customFormat="false" ht="35.15" hidden="false" customHeight="true" outlineLevel="0" collapsed="false">
      <c r="A11" s="21"/>
      <c r="B11" s="24" t="s">
        <v>92</v>
      </c>
      <c r="C11" s="20"/>
      <c r="D11" s="20"/>
      <c r="E11" s="20"/>
      <c r="F11" s="21" t="s">
        <v>147</v>
      </c>
    </row>
    <row r="12" customFormat="false" ht="35.15" hidden="false" customHeight="true" outlineLevel="0" collapsed="false">
      <c r="A12" s="21"/>
      <c r="B12" s="24" t="s">
        <v>95</v>
      </c>
      <c r="C12" s="20"/>
      <c r="D12" s="20"/>
      <c r="E12" s="20"/>
      <c r="F12" s="21" t="s">
        <v>148</v>
      </c>
    </row>
    <row r="13" customFormat="false" ht="35.15" hidden="false" customHeight="true" outlineLevel="0" collapsed="false">
      <c r="A13" s="25" t="s">
        <v>149</v>
      </c>
      <c r="B13" s="25" t="s">
        <v>149</v>
      </c>
      <c r="C13" s="26" t="s">
        <v>150</v>
      </c>
      <c r="D13" s="26" t="s">
        <v>151</v>
      </c>
      <c r="E13" s="26" t="n">
        <f aca="false">HEX2DEC((RIGHT(D13,3)))-HEX2DEC((RIGHT(C13,3)))+1</f>
        <v>144</v>
      </c>
      <c r="F13" s="25" t="s">
        <v>152</v>
      </c>
    </row>
    <row r="14" customFormat="false" ht="35.15" hidden="false" customHeight="true" outlineLevel="0" collapsed="false">
      <c r="A14" s="21" t="s">
        <v>109</v>
      </c>
      <c r="B14" s="24" t="s">
        <v>110</v>
      </c>
      <c r="C14" s="20" t="s">
        <v>153</v>
      </c>
      <c r="D14" s="20" t="s">
        <v>154</v>
      </c>
      <c r="E14" s="20" t="n">
        <f aca="false">HEX2DEC((RIGHT(D14,3)))-HEX2DEC((RIGHT(C14,3)))+1</f>
        <v>16</v>
      </c>
      <c r="F14" s="21" t="s">
        <v>155</v>
      </c>
    </row>
    <row r="15" customFormat="false" ht="35.15" hidden="false" customHeight="true" outlineLevel="0" collapsed="false">
      <c r="A15" s="21" t="s">
        <v>113</v>
      </c>
      <c r="B15" s="24" t="s">
        <v>156</v>
      </c>
      <c r="C15" s="20" t="s">
        <v>157</v>
      </c>
      <c r="D15" s="20" t="s">
        <v>158</v>
      </c>
      <c r="E15" s="20" t="n">
        <f aca="false">HEX2DEC((RIGHT(D15,3)))-HEX2DEC((RIGHT(C15,3)))+1</f>
        <v>8</v>
      </c>
      <c r="F15" s="21" t="s">
        <v>159</v>
      </c>
    </row>
    <row r="16" customFormat="false" ht="35.15" hidden="false" customHeight="true" outlineLevel="0" collapsed="false">
      <c r="A16" s="21"/>
      <c r="B16" s="24" t="s">
        <v>117</v>
      </c>
      <c r="C16" s="20" t="s">
        <v>160</v>
      </c>
      <c r="D16" s="20" t="s">
        <v>161</v>
      </c>
      <c r="E16" s="20" t="n">
        <f aca="false">HEX2DEC((RIGHT(D16,3)))-HEX2DEC((RIGHT(C16,3)))+1</f>
        <v>8</v>
      </c>
      <c r="F16" s="21" t="s">
        <v>162</v>
      </c>
    </row>
    <row r="17" customFormat="false" ht="35.15" hidden="false" customHeight="true" outlineLevel="0" collapsed="false">
      <c r="A17" s="27" t="s">
        <v>163</v>
      </c>
      <c r="B17" s="27"/>
      <c r="C17" s="23" t="s">
        <v>131</v>
      </c>
      <c r="D17" s="23" t="s">
        <v>161</v>
      </c>
      <c r="E17" s="23" t="n">
        <f aca="false">HEX2DEC((RIGHT(D17,3)))-HEX2DEC((RIGHT(C17,3)))+1</f>
        <v>256</v>
      </c>
      <c r="F17" s="27" t="s">
        <v>164</v>
      </c>
    </row>
    <row r="18" customFormat="false" ht="15" hidden="false" customHeight="true" outlineLevel="0" collapsed="false">
      <c r="A18" s="6"/>
      <c r="B18" s="6"/>
      <c r="C18" s="6"/>
      <c r="D18" s="6"/>
      <c r="E18" s="6"/>
      <c r="F18" s="6"/>
    </row>
    <row r="19" customFormat="false" ht="35.15" hidden="false" customHeight="true" outlineLevel="0" collapsed="false">
      <c r="A19" s="23" t="s">
        <v>165</v>
      </c>
      <c r="B19" s="23"/>
      <c r="C19" s="23"/>
      <c r="D19" s="23"/>
      <c r="E19" s="23"/>
      <c r="F19" s="23"/>
    </row>
    <row r="20" customFormat="false" ht="35.15" hidden="false" customHeight="true" outlineLevel="0" collapsed="false">
      <c r="A20" s="21" t="s">
        <v>166</v>
      </c>
      <c r="B20" s="21" t="s">
        <v>166</v>
      </c>
      <c r="C20" s="20" t="s">
        <v>167</v>
      </c>
      <c r="D20" s="20" t="s">
        <v>168</v>
      </c>
      <c r="E20" s="20" t="n">
        <f aca="false">HEX2DEC((RIGHT(D20,3)))-HEX2DEC((RIGHT(C20,3)))+1</f>
        <v>64</v>
      </c>
      <c r="F20" s="21" t="s">
        <v>169</v>
      </c>
    </row>
    <row r="21" customFormat="false" ht="35.15" hidden="false" customHeight="true" outlineLevel="0" collapsed="false">
      <c r="A21" s="21" t="s">
        <v>65</v>
      </c>
      <c r="B21" s="21" t="s">
        <v>65</v>
      </c>
      <c r="C21" s="20" t="s">
        <v>170</v>
      </c>
      <c r="D21" s="20" t="s">
        <v>171</v>
      </c>
      <c r="E21" s="20" t="n">
        <f aca="false">HEX2DEC((RIGHT(D21,3)))-HEX2DEC((RIGHT(C21,3)))+1</f>
        <v>384</v>
      </c>
      <c r="F21" s="21" t="s">
        <v>172</v>
      </c>
    </row>
    <row r="22" customFormat="false" ht="35.15" hidden="false" customHeight="true" outlineLevel="0" collapsed="false">
      <c r="A22" s="21" t="s">
        <v>68</v>
      </c>
      <c r="B22" s="21" t="s">
        <v>68</v>
      </c>
      <c r="C22" s="20" t="s">
        <v>173</v>
      </c>
      <c r="D22" s="20" t="s">
        <v>174</v>
      </c>
      <c r="E22" s="20" t="n">
        <f aca="false">HEX2DEC((RIGHT(D22,3)))-HEX2DEC((RIGHT(C22,3)))+1</f>
        <v>64</v>
      </c>
      <c r="F22" s="21" t="s">
        <v>175</v>
      </c>
    </row>
    <row r="23" customFormat="false" ht="35.15" hidden="false" customHeight="true" outlineLevel="0" collapsed="false">
      <c r="A23" s="21" t="s">
        <v>78</v>
      </c>
      <c r="B23" s="21" t="s">
        <v>78</v>
      </c>
      <c r="C23" s="20" t="s">
        <v>176</v>
      </c>
      <c r="D23" s="20" t="s">
        <v>177</v>
      </c>
      <c r="E23" s="20" t="n">
        <f aca="false">HEX2DEC((RIGHT(D23,3)))-HEX2DEC((RIGHT(C23,3)))+1</f>
        <v>128</v>
      </c>
      <c r="F23" s="21" t="s">
        <v>178</v>
      </c>
    </row>
    <row r="24" customFormat="false" ht="35.15" hidden="false" customHeight="true" outlineLevel="0" collapsed="false">
      <c r="A24" s="25" t="s">
        <v>179</v>
      </c>
      <c r="B24" s="25" t="s">
        <v>179</v>
      </c>
      <c r="C24" s="26" t="s">
        <v>180</v>
      </c>
      <c r="D24" s="26" t="s">
        <v>181</v>
      </c>
      <c r="E24" s="26" t="n">
        <f aca="false">HEX2DEC((RIGHT(D24,3)))-HEX2DEC((RIGHT(C24,3)))+1</f>
        <v>128</v>
      </c>
      <c r="F24" s="25" t="s">
        <v>152</v>
      </c>
    </row>
    <row r="25" customFormat="false" ht="35.15" hidden="false" customHeight="true" outlineLevel="0" collapsed="false">
      <c r="A25" s="21" t="s">
        <v>85</v>
      </c>
      <c r="B25" s="21" t="s">
        <v>86</v>
      </c>
      <c r="C25" s="20" t="s">
        <v>182</v>
      </c>
      <c r="D25" s="20" t="s">
        <v>183</v>
      </c>
      <c r="E25" s="20" t="n">
        <f aca="false">HEX2DEC((RIGHT(D25,3)))-HEX2DEC((RIGHT(C25,3)))+1</f>
        <v>64</v>
      </c>
      <c r="F25" s="21" t="s">
        <v>184</v>
      </c>
    </row>
    <row r="26" customFormat="false" ht="35.15" hidden="false" customHeight="true" outlineLevel="0" collapsed="false">
      <c r="A26" s="21"/>
      <c r="B26" s="21" t="s">
        <v>89</v>
      </c>
      <c r="C26" s="20" t="s">
        <v>185</v>
      </c>
      <c r="D26" s="20" t="s">
        <v>186</v>
      </c>
      <c r="E26" s="20" t="n">
        <f aca="false">HEX2DEC((RIGHT(D26,3)))-HEX2DEC((RIGHT(C26,3)))+1</f>
        <v>64</v>
      </c>
      <c r="F26" s="21" t="s">
        <v>187</v>
      </c>
    </row>
    <row r="27" customFormat="false" ht="35.15" hidden="false" customHeight="true" outlineLevel="0" collapsed="false">
      <c r="A27" s="21"/>
      <c r="B27" s="24" t="s">
        <v>92</v>
      </c>
      <c r="C27" s="20" t="s">
        <v>121</v>
      </c>
      <c r="D27" s="20" t="s">
        <v>121</v>
      </c>
      <c r="E27" s="20" t="s">
        <v>121</v>
      </c>
      <c r="F27" s="21" t="s">
        <v>121</v>
      </c>
    </row>
    <row r="28" customFormat="false" ht="35.15" hidden="false" customHeight="true" outlineLevel="0" collapsed="false">
      <c r="A28" s="21"/>
      <c r="B28" s="24" t="s">
        <v>95</v>
      </c>
      <c r="C28" s="20" t="s">
        <v>121</v>
      </c>
      <c r="D28" s="20" t="s">
        <v>121</v>
      </c>
      <c r="E28" s="20" t="s">
        <v>121</v>
      </c>
      <c r="F28" s="21" t="s">
        <v>121</v>
      </c>
    </row>
    <row r="29" customFormat="false" ht="35.15" hidden="false" customHeight="true" outlineLevel="0" collapsed="false">
      <c r="A29" s="25" t="s">
        <v>149</v>
      </c>
      <c r="B29" s="25" t="s">
        <v>149</v>
      </c>
      <c r="C29" s="26" t="s">
        <v>188</v>
      </c>
      <c r="D29" s="26" t="s">
        <v>189</v>
      </c>
      <c r="E29" s="26" t="n">
        <f aca="false">HEX2DEC((RIGHT(D29,3)))-HEX2DEC((RIGHT(C29,3)))+1</f>
        <v>640</v>
      </c>
      <c r="F29" s="25" t="s">
        <v>152</v>
      </c>
    </row>
    <row r="30" customFormat="false" ht="35.15" hidden="false" customHeight="true" outlineLevel="0" collapsed="false">
      <c r="A30" s="21" t="s">
        <v>109</v>
      </c>
      <c r="B30" s="21" t="s">
        <v>109</v>
      </c>
      <c r="C30" s="20" t="s">
        <v>190</v>
      </c>
      <c r="D30" s="20" t="s">
        <v>191</v>
      </c>
      <c r="E30" s="20" t="n">
        <f aca="false">HEX2DEC((RIGHT(D30,3)))-HEX2DEC((RIGHT(C30,3)))+1</f>
        <v>64</v>
      </c>
      <c r="F30" s="21" t="s">
        <v>192</v>
      </c>
    </row>
    <row r="31" customFormat="false" ht="35.15" hidden="false" customHeight="true" outlineLevel="0" collapsed="false">
      <c r="A31" s="21" t="s">
        <v>113</v>
      </c>
      <c r="B31" s="21" t="s">
        <v>156</v>
      </c>
      <c r="C31" s="20" t="s">
        <v>121</v>
      </c>
      <c r="D31" s="20" t="s">
        <v>121</v>
      </c>
      <c r="E31" s="20" t="s">
        <v>121</v>
      </c>
      <c r="F31" s="21" t="s">
        <v>121</v>
      </c>
    </row>
    <row r="32" customFormat="false" ht="35.15" hidden="false" customHeight="true" outlineLevel="0" collapsed="false">
      <c r="A32" s="21"/>
      <c r="B32" s="21" t="s">
        <v>117</v>
      </c>
      <c r="C32" s="20" t="s">
        <v>193</v>
      </c>
      <c r="D32" s="20" t="s">
        <v>194</v>
      </c>
      <c r="E32" s="20" t="n">
        <f aca="false">HEX2DEC((RIGHT(D32,3)))-HEX2DEC((RIGHT(C32,3)))+1</f>
        <v>64</v>
      </c>
      <c r="F32" s="21" t="s">
        <v>195</v>
      </c>
    </row>
    <row r="33" customFormat="false" ht="35.15" hidden="false" customHeight="true" outlineLevel="0" collapsed="false">
      <c r="A33" s="25" t="s">
        <v>149</v>
      </c>
      <c r="B33" s="25" t="s">
        <v>149</v>
      </c>
      <c r="C33" s="26" t="s">
        <v>196</v>
      </c>
      <c r="D33" s="26" t="s">
        <v>197</v>
      </c>
      <c r="E33" s="26" t="n">
        <f aca="false">HEX2DEC((RIGHT(D33,3)))-HEX2DEC((RIGHT(C33,3)))+1</f>
        <v>128</v>
      </c>
      <c r="F33" s="25" t="s">
        <v>152</v>
      </c>
    </row>
    <row r="34" customFormat="false" ht="35.15" hidden="false" customHeight="true" outlineLevel="0" collapsed="false">
      <c r="A34" s="27" t="s">
        <v>198</v>
      </c>
      <c r="B34" s="27"/>
      <c r="C34" s="23" t="s">
        <v>167</v>
      </c>
      <c r="D34" s="23" t="s">
        <v>197</v>
      </c>
      <c r="E34" s="23" t="n">
        <f aca="false">HEX2DEC((RIGHT(D34,3)))-HEX2DEC((RIGHT(C34,3)))+1</f>
        <v>1792</v>
      </c>
      <c r="F34" s="27" t="s">
        <v>152</v>
      </c>
    </row>
    <row r="35" customFormat="false" ht="15" hidden="false" customHeight="true" outlineLevel="0" collapsed="false">
      <c r="A35" s="28"/>
      <c r="B35" s="28"/>
      <c r="C35" s="29"/>
      <c r="D35" s="30"/>
      <c r="E35" s="29"/>
      <c r="F35" s="6"/>
    </row>
    <row r="36" customFormat="false" ht="35.15" hidden="false" customHeight="true" outlineLevel="0" collapsed="false">
      <c r="A36" s="23" t="s">
        <v>199</v>
      </c>
      <c r="B36" s="23"/>
      <c r="C36" s="29"/>
      <c r="D36" s="30"/>
      <c r="E36" s="29"/>
      <c r="F36" s="6"/>
    </row>
    <row r="37" customFormat="false" ht="35.15" hidden="false" customHeight="true" outlineLevel="0" collapsed="false">
      <c r="A37" s="31" t="s">
        <v>200</v>
      </c>
      <c r="B37" s="32" t="s">
        <v>126</v>
      </c>
      <c r="C37" s="29"/>
      <c r="D37" s="30"/>
      <c r="E37" s="29"/>
      <c r="F37" s="6"/>
    </row>
    <row r="38" customFormat="false" ht="35.15" hidden="false" customHeight="true" outlineLevel="0" collapsed="false">
      <c r="A38" s="33" t="s">
        <v>201</v>
      </c>
      <c r="B38" s="26" t="n">
        <f aca="false">B40-B39</f>
        <v>1008</v>
      </c>
      <c r="C38" s="29"/>
      <c r="D38" s="30"/>
      <c r="E38" s="29"/>
      <c r="F38" s="6"/>
    </row>
    <row r="39" customFormat="false" ht="35.15" hidden="false" customHeight="true" outlineLevel="0" collapsed="false">
      <c r="A39" s="33" t="s">
        <v>152</v>
      </c>
      <c r="B39" s="26" t="n">
        <f aca="false">E13+E24+E29+E33</f>
        <v>1040</v>
      </c>
      <c r="C39" s="29"/>
      <c r="D39" s="30"/>
      <c r="E39" s="29"/>
      <c r="F39" s="6"/>
    </row>
    <row r="40" customFormat="false" ht="35.15" hidden="false" customHeight="true" outlineLevel="0" collapsed="false">
      <c r="A40" s="33" t="s">
        <v>202</v>
      </c>
      <c r="B40" s="26" t="n">
        <f aca="false">E17+E34</f>
        <v>2048</v>
      </c>
      <c r="C40" s="29"/>
      <c r="D40" s="30"/>
      <c r="E40" s="29"/>
      <c r="F40" s="6"/>
    </row>
  </sheetData>
  <mergeCells count="19">
    <mergeCell ref="A1:F1"/>
    <mergeCell ref="A2:A3"/>
    <mergeCell ref="B2:B3"/>
    <mergeCell ref="C2:D2"/>
    <mergeCell ref="E2:E3"/>
    <mergeCell ref="F2:F3"/>
    <mergeCell ref="A4:F4"/>
    <mergeCell ref="A9:A12"/>
    <mergeCell ref="C9:C12"/>
    <mergeCell ref="D9:D12"/>
    <mergeCell ref="E9:E12"/>
    <mergeCell ref="A15:A16"/>
    <mergeCell ref="A17:B17"/>
    <mergeCell ref="A18:F18"/>
    <mergeCell ref="A19:F19"/>
    <mergeCell ref="A25:A28"/>
    <mergeCell ref="A31:A32"/>
    <mergeCell ref="A34:B34"/>
    <mergeCell ref="A36:B36"/>
  </mergeCells>
  <printOptions headings="false" gridLines="false" gridLinesSet="true" horizontalCentered="false" verticalCentered="false"/>
  <pageMargins left="0.7" right="0.7" top="0.611111111111111" bottom="0.75" header="0.3" footer="0.511811023622047"/>
  <pageSetup paperSize="9" scale="62"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9"/>
  <sheetViews>
    <sheetView showFormulas="false" showGridLines="false" showRowColHeaders="true" showZeros="true" rightToLeft="false" tabSelected="false" showOutlineSymbols="true" defaultGridColor="true" view="normal" topLeftCell="A1" colorId="64" zoomScale="75" zoomScaleNormal="75" zoomScalePageLayoutView="100" workbookViewId="0">
      <pane xSplit="2" ySplit="0" topLeftCell="C1" activePane="topRight" state="frozen"/>
      <selection pane="topLeft" activeCell="A1" activeCellId="0" sqref="A1"/>
      <selection pane="topRight" activeCell="C14" activeCellId="0" sqref="C14"/>
    </sheetView>
  </sheetViews>
  <sheetFormatPr defaultColWidth="14.3828125" defaultRowHeight="12.75" zeroHeight="false" outlineLevelRow="0" outlineLevelCol="0"/>
  <cols>
    <col collapsed="false" customWidth="true" hidden="false" outlineLevel="0" max="2" min="1" style="0" width="16.15"/>
    <col collapsed="false" customWidth="true" hidden="false" outlineLevel="0" max="3" min="3" style="0" width="33.89"/>
    <col collapsed="false" customWidth="true" hidden="false" outlineLevel="0" max="4" min="4" style="34" width="22.43"/>
    <col collapsed="false" customWidth="true" hidden="false" outlineLevel="0" max="5" min="5" style="0" width="15.7"/>
    <col collapsed="false" customWidth="true" hidden="false" outlineLevel="0" max="20" min="6" style="0" width="14.67"/>
    <col collapsed="false" customWidth="true" hidden="false" outlineLevel="0" max="21" min="21" style="0" width="41.08"/>
  </cols>
  <sheetData>
    <row r="1" s="1" customFormat="true" ht="34.5" hidden="false" customHeight="true" outlineLevel="0" collapsed="false">
      <c r="A1" s="35"/>
      <c r="B1" s="35"/>
      <c r="C1" s="35"/>
      <c r="D1" s="35"/>
      <c r="E1" s="36"/>
      <c r="F1" s="35"/>
      <c r="G1" s="35"/>
      <c r="H1" s="36"/>
      <c r="I1" s="36" t="s">
        <v>203</v>
      </c>
      <c r="J1" s="35"/>
      <c r="K1" s="35"/>
      <c r="L1" s="35"/>
      <c r="M1" s="35"/>
      <c r="N1" s="35"/>
      <c r="O1" s="35"/>
      <c r="P1" s="35"/>
      <c r="Q1" s="35"/>
      <c r="R1" s="35"/>
      <c r="S1" s="35"/>
      <c r="T1" s="35"/>
      <c r="U1" s="37"/>
    </row>
    <row r="2" s="40" customFormat="true" ht="44" hidden="false" customHeight="false" outlineLevel="0" collapsed="false">
      <c r="A2" s="38" t="s">
        <v>204</v>
      </c>
      <c r="B2" s="38" t="s">
        <v>205</v>
      </c>
      <c r="C2" s="38" t="s">
        <v>206</v>
      </c>
      <c r="D2" s="38" t="s">
        <v>207</v>
      </c>
      <c r="E2" s="38" t="s">
        <v>208</v>
      </c>
      <c r="F2" s="38" t="s">
        <v>209</v>
      </c>
      <c r="G2" s="38" t="s">
        <v>210</v>
      </c>
      <c r="H2" s="38" t="s">
        <v>211</v>
      </c>
      <c r="I2" s="38" t="s">
        <v>212</v>
      </c>
      <c r="J2" s="38" t="s">
        <v>213</v>
      </c>
      <c r="K2" s="38" t="s">
        <v>214</v>
      </c>
      <c r="L2" s="38" t="s">
        <v>215</v>
      </c>
      <c r="M2" s="38" t="s">
        <v>216</v>
      </c>
      <c r="N2" s="39" t="s">
        <v>217</v>
      </c>
      <c r="O2" s="38" t="s">
        <v>218</v>
      </c>
      <c r="P2" s="38" t="s">
        <v>219</v>
      </c>
      <c r="Q2" s="38" t="s">
        <v>220</v>
      </c>
      <c r="R2" s="38" t="s">
        <v>221</v>
      </c>
      <c r="S2" s="38" t="s">
        <v>222</v>
      </c>
      <c r="T2" s="38" t="s">
        <v>223</v>
      </c>
      <c r="U2" s="38" t="s">
        <v>64</v>
      </c>
    </row>
    <row r="3" s="1" customFormat="true" ht="32.15" hidden="false" customHeight="true" outlineLevel="0" collapsed="false">
      <c r="A3" s="41" t="s">
        <v>224</v>
      </c>
      <c r="B3" s="42"/>
      <c r="C3" s="43"/>
      <c r="D3" s="43"/>
      <c r="E3" s="43"/>
      <c r="F3" s="43"/>
      <c r="G3" s="43"/>
      <c r="H3" s="43"/>
      <c r="I3" s="43"/>
      <c r="J3" s="43"/>
      <c r="K3" s="43"/>
      <c r="L3" s="43"/>
      <c r="M3" s="43"/>
      <c r="N3" s="43"/>
      <c r="O3" s="43"/>
      <c r="P3" s="43"/>
      <c r="Q3" s="43"/>
      <c r="R3" s="43"/>
      <c r="S3" s="43"/>
      <c r="T3" s="43"/>
      <c r="U3" s="44"/>
    </row>
    <row r="4" s="40" customFormat="true" ht="32.15" hidden="false" customHeight="true" outlineLevel="0" collapsed="false">
      <c r="A4" s="45" t="n">
        <v>1</v>
      </c>
      <c r="B4" s="45" t="s">
        <v>225</v>
      </c>
      <c r="C4" s="46" t="s">
        <v>226</v>
      </c>
      <c r="D4" s="45" t="s">
        <v>227</v>
      </c>
      <c r="E4" s="45" t="n">
        <v>100</v>
      </c>
      <c r="F4" s="45" t="s">
        <v>228</v>
      </c>
      <c r="G4" s="45" t="s">
        <v>228</v>
      </c>
      <c r="H4" s="47" t="s">
        <v>229</v>
      </c>
      <c r="I4" s="45" t="n">
        <v>8</v>
      </c>
      <c r="J4" s="45" t="n">
        <v>0</v>
      </c>
      <c r="K4" s="45" t="n">
        <v>0</v>
      </c>
      <c r="L4" s="45" t="n">
        <v>0</v>
      </c>
      <c r="M4" s="45" t="n">
        <v>0</v>
      </c>
      <c r="N4" s="45" t="s">
        <v>121</v>
      </c>
      <c r="O4" s="45" t="s">
        <v>121</v>
      </c>
      <c r="P4" s="45" t="s">
        <v>230</v>
      </c>
      <c r="Q4" s="45" t="s">
        <v>231</v>
      </c>
      <c r="R4" s="45" t="s">
        <v>231</v>
      </c>
      <c r="S4" s="45" t="s">
        <v>232</v>
      </c>
      <c r="T4" s="45" t="s">
        <v>231</v>
      </c>
      <c r="U4" s="46" t="s">
        <v>233</v>
      </c>
    </row>
    <row r="5" s="51" customFormat="true" ht="32.15" hidden="false" customHeight="true" outlineLevel="0" collapsed="false">
      <c r="A5" s="48" t="n">
        <f aca="false">A4+1</f>
        <v>2</v>
      </c>
      <c r="B5" s="48" t="s">
        <v>234</v>
      </c>
      <c r="C5" s="49" t="s">
        <v>235</v>
      </c>
      <c r="D5" s="50" t="s">
        <v>227</v>
      </c>
      <c r="E5" s="48" t="n">
        <v>1000</v>
      </c>
      <c r="F5" s="48" t="s">
        <v>228</v>
      </c>
      <c r="G5" s="48" t="s">
        <v>228</v>
      </c>
      <c r="H5" s="48" t="s">
        <v>229</v>
      </c>
      <c r="I5" s="50" t="n">
        <v>8</v>
      </c>
      <c r="J5" s="50" t="n">
        <v>0</v>
      </c>
      <c r="K5" s="50" t="n">
        <v>0</v>
      </c>
      <c r="L5" s="50" t="n">
        <v>0</v>
      </c>
      <c r="M5" s="50" t="n">
        <v>0</v>
      </c>
      <c r="N5" s="50" t="s">
        <v>121</v>
      </c>
      <c r="O5" s="50" t="s">
        <v>121</v>
      </c>
      <c r="P5" s="50" t="s">
        <v>230</v>
      </c>
      <c r="Q5" s="50" t="s">
        <v>231</v>
      </c>
      <c r="R5" s="50" t="s">
        <v>231</v>
      </c>
      <c r="S5" s="50" t="s">
        <v>232</v>
      </c>
      <c r="T5" s="50" t="s">
        <v>231</v>
      </c>
      <c r="U5" s="49" t="s">
        <v>236</v>
      </c>
    </row>
    <row r="6" s="40" customFormat="true" ht="32.15" hidden="false" customHeight="true" outlineLevel="0" collapsed="false">
      <c r="A6" s="47" t="n">
        <f aca="false">A5+1</f>
        <v>3</v>
      </c>
      <c r="B6" s="47" t="s">
        <v>237</v>
      </c>
      <c r="C6" s="52" t="s">
        <v>238</v>
      </c>
      <c r="D6" s="45" t="s">
        <v>227</v>
      </c>
      <c r="E6" s="47" t="n">
        <v>500</v>
      </c>
      <c r="F6" s="47" t="s">
        <v>228</v>
      </c>
      <c r="G6" s="47" t="s">
        <v>228</v>
      </c>
      <c r="H6" s="47" t="s">
        <v>229</v>
      </c>
      <c r="I6" s="45" t="n">
        <v>8</v>
      </c>
      <c r="J6" s="45" t="n">
        <v>0</v>
      </c>
      <c r="K6" s="45" t="n">
        <v>0</v>
      </c>
      <c r="L6" s="45" t="n">
        <v>0</v>
      </c>
      <c r="M6" s="45" t="n">
        <v>0</v>
      </c>
      <c r="N6" s="45" t="s">
        <v>121</v>
      </c>
      <c r="O6" s="45" t="s">
        <v>121</v>
      </c>
      <c r="P6" s="45" t="s">
        <v>230</v>
      </c>
      <c r="Q6" s="45" t="s">
        <v>231</v>
      </c>
      <c r="R6" s="45" t="s">
        <v>231</v>
      </c>
      <c r="S6" s="45" t="s">
        <v>232</v>
      </c>
      <c r="T6" s="45" t="s">
        <v>231</v>
      </c>
      <c r="U6" s="52" t="s">
        <v>239</v>
      </c>
    </row>
    <row r="7" s="1" customFormat="true" ht="32.15" hidden="false" customHeight="true" outlineLevel="0" collapsed="false">
      <c r="A7" s="53" t="n">
        <f aca="false">A6+1</f>
        <v>4</v>
      </c>
      <c r="B7" s="53" t="s">
        <v>240</v>
      </c>
      <c r="C7" s="54" t="s">
        <v>241</v>
      </c>
      <c r="D7" s="55" t="s">
        <v>242</v>
      </c>
      <c r="E7" s="53" t="n">
        <v>500</v>
      </c>
      <c r="F7" s="53" t="s">
        <v>228</v>
      </c>
      <c r="G7" s="53" t="s">
        <v>228</v>
      </c>
      <c r="H7" s="53" t="s">
        <v>229</v>
      </c>
      <c r="I7" s="55" t="n">
        <v>8</v>
      </c>
      <c r="J7" s="55" t="n">
        <v>0</v>
      </c>
      <c r="K7" s="55" t="n">
        <v>0</v>
      </c>
      <c r="L7" s="55" t="n">
        <v>0</v>
      </c>
      <c r="M7" s="55" t="n">
        <v>0</v>
      </c>
      <c r="N7" s="55" t="s">
        <v>121</v>
      </c>
      <c r="O7" s="55" t="s">
        <v>121</v>
      </c>
      <c r="P7" s="55" t="s">
        <v>230</v>
      </c>
      <c r="Q7" s="55" t="s">
        <v>231</v>
      </c>
      <c r="R7" s="55" t="s">
        <v>231</v>
      </c>
      <c r="S7" s="55" t="s">
        <v>232</v>
      </c>
      <c r="T7" s="55" t="s">
        <v>231</v>
      </c>
      <c r="U7" s="54" t="s">
        <v>243</v>
      </c>
    </row>
    <row r="8" s="1" customFormat="true" ht="32.15" hidden="false" customHeight="true" outlineLevel="0" collapsed="false">
      <c r="A8" s="56" t="s">
        <v>244</v>
      </c>
      <c r="B8" s="57"/>
      <c r="C8" s="58"/>
      <c r="D8" s="58"/>
      <c r="E8" s="58"/>
      <c r="F8" s="58"/>
      <c r="G8" s="58"/>
      <c r="H8" s="58"/>
      <c r="I8" s="58"/>
      <c r="J8" s="58"/>
      <c r="K8" s="58"/>
      <c r="L8" s="58"/>
      <c r="M8" s="58"/>
      <c r="N8" s="58"/>
      <c r="O8" s="58"/>
      <c r="P8" s="58"/>
      <c r="Q8" s="58"/>
      <c r="R8" s="58"/>
      <c r="S8" s="58"/>
      <c r="T8" s="58"/>
      <c r="U8" s="59"/>
    </row>
    <row r="9" s="40" customFormat="true" ht="32.15" hidden="false" customHeight="true" outlineLevel="0" collapsed="false">
      <c r="A9" s="47" t="n">
        <f aca="false">A6+1</f>
        <v>4</v>
      </c>
      <c r="B9" s="47" t="s">
        <v>134</v>
      </c>
      <c r="C9" s="60" t="s">
        <v>245</v>
      </c>
      <c r="D9" s="45" t="s">
        <v>227</v>
      </c>
      <c r="E9" s="47" t="n">
        <v>100</v>
      </c>
      <c r="F9" s="47" t="s">
        <v>65</v>
      </c>
      <c r="G9" s="47" t="s">
        <v>228</v>
      </c>
      <c r="H9" s="47" t="s">
        <v>229</v>
      </c>
      <c r="I9" s="45" t="n">
        <v>8</v>
      </c>
      <c r="J9" s="45" t="n">
        <v>0</v>
      </c>
      <c r="K9" s="45" t="n">
        <v>0</v>
      </c>
      <c r="L9" s="45" t="n">
        <v>0</v>
      </c>
      <c r="M9" s="45" t="n">
        <v>0</v>
      </c>
      <c r="N9" s="45" t="s">
        <v>121</v>
      </c>
      <c r="O9" s="45" t="s">
        <v>121</v>
      </c>
      <c r="P9" s="45" t="s">
        <v>230</v>
      </c>
      <c r="Q9" s="45" t="s">
        <v>231</v>
      </c>
      <c r="R9" s="45" t="s">
        <v>231</v>
      </c>
      <c r="S9" s="45" t="s">
        <v>232</v>
      </c>
      <c r="T9" s="45" t="s">
        <v>231</v>
      </c>
      <c r="U9" s="52" t="s">
        <v>246</v>
      </c>
    </row>
    <row r="10" s="40" customFormat="true" ht="32.15" hidden="false" customHeight="true" outlineLevel="0" collapsed="false">
      <c r="A10" s="47" t="n">
        <f aca="false">A9+1</f>
        <v>5</v>
      </c>
      <c r="B10" s="47" t="s">
        <v>247</v>
      </c>
      <c r="C10" s="60" t="s">
        <v>248</v>
      </c>
      <c r="D10" s="45" t="s">
        <v>227</v>
      </c>
      <c r="E10" s="47" t="n">
        <v>1000</v>
      </c>
      <c r="F10" s="47" t="s">
        <v>65</v>
      </c>
      <c r="G10" s="47" t="s">
        <v>228</v>
      </c>
      <c r="H10" s="47" t="s">
        <v>229</v>
      </c>
      <c r="I10" s="45" t="n">
        <v>8</v>
      </c>
      <c r="J10" s="45" t="n">
        <v>0</v>
      </c>
      <c r="K10" s="45" t="n">
        <v>0</v>
      </c>
      <c r="L10" s="45" t="n">
        <v>0</v>
      </c>
      <c r="M10" s="45" t="n">
        <v>0</v>
      </c>
      <c r="N10" s="45" t="s">
        <v>121</v>
      </c>
      <c r="O10" s="45" t="s">
        <v>121</v>
      </c>
      <c r="P10" s="45" t="s">
        <v>230</v>
      </c>
      <c r="Q10" s="45" t="s">
        <v>231</v>
      </c>
      <c r="R10" s="45" t="s">
        <v>231</v>
      </c>
      <c r="S10" s="45" t="s">
        <v>232</v>
      </c>
      <c r="T10" s="45" t="s">
        <v>231</v>
      </c>
      <c r="U10" s="52" t="s">
        <v>249</v>
      </c>
    </row>
    <row r="11" s="40" customFormat="true" ht="32.15" hidden="false" customHeight="true" outlineLevel="0" collapsed="false">
      <c r="A11" s="47" t="n">
        <f aca="false">A10+1</f>
        <v>6</v>
      </c>
      <c r="B11" s="47" t="s">
        <v>250</v>
      </c>
      <c r="C11" s="60" t="s">
        <v>251</v>
      </c>
      <c r="D11" s="45" t="s">
        <v>227</v>
      </c>
      <c r="E11" s="47" t="n">
        <v>500</v>
      </c>
      <c r="F11" s="47" t="s">
        <v>65</v>
      </c>
      <c r="G11" s="47" t="s">
        <v>228</v>
      </c>
      <c r="H11" s="47" t="s">
        <v>229</v>
      </c>
      <c r="I11" s="45" t="n">
        <v>8</v>
      </c>
      <c r="J11" s="45" t="n">
        <v>0</v>
      </c>
      <c r="K11" s="45" t="n">
        <v>0</v>
      </c>
      <c r="L11" s="45" t="n">
        <v>0</v>
      </c>
      <c r="M11" s="45" t="n">
        <v>0</v>
      </c>
      <c r="N11" s="45" t="s">
        <v>121</v>
      </c>
      <c r="O11" s="45" t="s">
        <v>121</v>
      </c>
      <c r="P11" s="45" t="s">
        <v>230</v>
      </c>
      <c r="Q11" s="45" t="s">
        <v>231</v>
      </c>
      <c r="R11" s="45" t="s">
        <v>231</v>
      </c>
      <c r="S11" s="45" t="s">
        <v>232</v>
      </c>
      <c r="T11" s="45" t="s">
        <v>231</v>
      </c>
      <c r="U11" s="52" t="s">
        <v>252</v>
      </c>
    </row>
    <row r="12" s="40" customFormat="true" ht="32.15" hidden="false" customHeight="true" outlineLevel="0" collapsed="false">
      <c r="A12" s="47" t="n">
        <f aca="false">A11+1</f>
        <v>7</v>
      </c>
      <c r="B12" s="47" t="s">
        <v>253</v>
      </c>
      <c r="C12" s="60" t="s">
        <v>254</v>
      </c>
      <c r="D12" s="45" t="s">
        <v>227</v>
      </c>
      <c r="E12" s="47" t="n">
        <v>2000</v>
      </c>
      <c r="F12" s="47" t="s">
        <v>65</v>
      </c>
      <c r="G12" s="47" t="s">
        <v>228</v>
      </c>
      <c r="H12" s="47" t="s">
        <v>229</v>
      </c>
      <c r="I12" s="45" t="n">
        <v>8</v>
      </c>
      <c r="J12" s="45" t="n">
        <v>0</v>
      </c>
      <c r="K12" s="45" t="n">
        <v>0</v>
      </c>
      <c r="L12" s="45" t="n">
        <v>0</v>
      </c>
      <c r="M12" s="45" t="n">
        <v>0</v>
      </c>
      <c r="N12" s="45" t="s">
        <v>121</v>
      </c>
      <c r="O12" s="45" t="s">
        <v>121</v>
      </c>
      <c r="P12" s="45" t="s">
        <v>230</v>
      </c>
      <c r="Q12" s="45" t="s">
        <v>231</v>
      </c>
      <c r="R12" s="45" t="s">
        <v>231</v>
      </c>
      <c r="S12" s="45" t="s">
        <v>232</v>
      </c>
      <c r="T12" s="45" t="s">
        <v>231</v>
      </c>
      <c r="U12" s="52" t="s">
        <v>255</v>
      </c>
    </row>
    <row r="13" s="40" customFormat="true" ht="32.15" hidden="false" customHeight="true" outlineLevel="0" collapsed="false">
      <c r="A13" s="47" t="n">
        <f aca="false">A12+1</f>
        <v>8</v>
      </c>
      <c r="B13" s="47" t="s">
        <v>256</v>
      </c>
      <c r="C13" s="60" t="s">
        <v>257</v>
      </c>
      <c r="D13" s="45" t="s">
        <v>227</v>
      </c>
      <c r="E13" s="47" t="n">
        <v>2000</v>
      </c>
      <c r="F13" s="47" t="s">
        <v>65</v>
      </c>
      <c r="G13" s="47" t="s">
        <v>228</v>
      </c>
      <c r="H13" s="47" t="s">
        <v>229</v>
      </c>
      <c r="I13" s="45" t="n">
        <v>8</v>
      </c>
      <c r="J13" s="45" t="n">
        <v>0</v>
      </c>
      <c r="K13" s="45" t="n">
        <v>0</v>
      </c>
      <c r="L13" s="45" t="n">
        <v>0</v>
      </c>
      <c r="M13" s="45" t="n">
        <v>0</v>
      </c>
      <c r="N13" s="45" t="s">
        <v>121</v>
      </c>
      <c r="O13" s="45" t="s">
        <v>121</v>
      </c>
      <c r="P13" s="45" t="s">
        <v>230</v>
      </c>
      <c r="Q13" s="45" t="s">
        <v>231</v>
      </c>
      <c r="R13" s="45" t="s">
        <v>231</v>
      </c>
      <c r="S13" s="45" t="s">
        <v>232</v>
      </c>
      <c r="T13" s="45" t="s">
        <v>231</v>
      </c>
      <c r="U13" s="52" t="s">
        <v>258</v>
      </c>
    </row>
    <row r="14" s="40" customFormat="true" ht="32.15" hidden="false" customHeight="true" outlineLevel="0" collapsed="false">
      <c r="A14" s="47" t="n">
        <f aca="false">A13+1</f>
        <v>9</v>
      </c>
      <c r="B14" s="47" t="s">
        <v>259</v>
      </c>
      <c r="C14" s="60" t="s">
        <v>260</v>
      </c>
      <c r="D14" s="45" t="s">
        <v>227</v>
      </c>
      <c r="E14" s="47" t="n">
        <v>5000</v>
      </c>
      <c r="F14" s="47" t="s">
        <v>65</v>
      </c>
      <c r="G14" s="47" t="s">
        <v>228</v>
      </c>
      <c r="H14" s="47" t="s">
        <v>229</v>
      </c>
      <c r="I14" s="45" t="n">
        <v>8</v>
      </c>
      <c r="J14" s="45" t="n">
        <v>0</v>
      </c>
      <c r="K14" s="45" t="n">
        <v>0</v>
      </c>
      <c r="L14" s="45" t="n">
        <v>0</v>
      </c>
      <c r="M14" s="45" t="n">
        <v>0</v>
      </c>
      <c r="N14" s="45" t="s">
        <v>121</v>
      </c>
      <c r="O14" s="45" t="s">
        <v>121</v>
      </c>
      <c r="P14" s="45" t="s">
        <v>230</v>
      </c>
      <c r="Q14" s="45" t="s">
        <v>231</v>
      </c>
      <c r="R14" s="45" t="s">
        <v>231</v>
      </c>
      <c r="S14" s="45" t="s">
        <v>232</v>
      </c>
      <c r="T14" s="45" t="s">
        <v>231</v>
      </c>
      <c r="U14" s="52" t="s">
        <v>261</v>
      </c>
    </row>
    <row r="15" s="40" customFormat="true" ht="32.15" hidden="false" customHeight="true" outlineLevel="0" collapsed="false">
      <c r="A15" s="61" t="n">
        <f aca="false">A14+1</f>
        <v>10</v>
      </c>
      <c r="B15" s="61" t="s">
        <v>262</v>
      </c>
      <c r="C15" s="62" t="s">
        <v>263</v>
      </c>
      <c r="D15" s="63" t="s">
        <v>227</v>
      </c>
      <c r="E15" s="61" t="n">
        <v>5000</v>
      </c>
      <c r="F15" s="61" t="s">
        <v>65</v>
      </c>
      <c r="G15" s="61" t="s">
        <v>228</v>
      </c>
      <c r="H15" s="61" t="s">
        <v>229</v>
      </c>
      <c r="I15" s="63" t="n">
        <v>8</v>
      </c>
      <c r="J15" s="63" t="n">
        <v>0</v>
      </c>
      <c r="K15" s="63" t="n">
        <v>0</v>
      </c>
      <c r="L15" s="63" t="n">
        <v>0</v>
      </c>
      <c r="M15" s="63" t="n">
        <v>0</v>
      </c>
      <c r="N15" s="63" t="s">
        <v>121</v>
      </c>
      <c r="O15" s="63" t="s">
        <v>121</v>
      </c>
      <c r="P15" s="63" t="s">
        <v>230</v>
      </c>
      <c r="Q15" s="63" t="s">
        <v>231</v>
      </c>
      <c r="R15" s="63" t="s">
        <v>231</v>
      </c>
      <c r="S15" s="63" t="s">
        <v>232</v>
      </c>
      <c r="T15" s="63" t="s">
        <v>231</v>
      </c>
      <c r="U15" s="64" t="s">
        <v>264</v>
      </c>
    </row>
    <row r="16" s="40" customFormat="true" ht="32.15" hidden="false" customHeight="true" outlineLevel="0" collapsed="false">
      <c r="A16" s="47" t="n">
        <f aca="false">A14+1</f>
        <v>10</v>
      </c>
      <c r="B16" s="47" t="s">
        <v>265</v>
      </c>
      <c r="C16" s="60" t="s">
        <v>266</v>
      </c>
      <c r="D16" s="45" t="s">
        <v>227</v>
      </c>
      <c r="E16" s="47" t="n">
        <v>10000</v>
      </c>
      <c r="F16" s="47" t="s">
        <v>65</v>
      </c>
      <c r="G16" s="47" t="s">
        <v>228</v>
      </c>
      <c r="H16" s="47" t="s">
        <v>229</v>
      </c>
      <c r="I16" s="45" t="n">
        <v>8</v>
      </c>
      <c r="J16" s="45" t="n">
        <v>0</v>
      </c>
      <c r="K16" s="45" t="n">
        <v>0</v>
      </c>
      <c r="L16" s="45" t="n">
        <v>0</v>
      </c>
      <c r="M16" s="45" t="n">
        <v>0</v>
      </c>
      <c r="N16" s="45" t="s">
        <v>121</v>
      </c>
      <c r="O16" s="45" t="s">
        <v>121</v>
      </c>
      <c r="P16" s="45" t="s">
        <v>230</v>
      </c>
      <c r="Q16" s="45" t="s">
        <v>231</v>
      </c>
      <c r="R16" s="45" t="s">
        <v>231</v>
      </c>
      <c r="S16" s="45" t="s">
        <v>232</v>
      </c>
      <c r="T16" s="45" t="s">
        <v>231</v>
      </c>
      <c r="U16" s="52" t="s">
        <v>267</v>
      </c>
    </row>
    <row r="17" s="40" customFormat="true" ht="32.15" hidden="false" customHeight="true" outlineLevel="0" collapsed="false">
      <c r="A17" s="47" t="n">
        <f aca="false">A16+1</f>
        <v>11</v>
      </c>
      <c r="B17" s="47" t="s">
        <v>268</v>
      </c>
      <c r="C17" s="60" t="s">
        <v>269</v>
      </c>
      <c r="D17" s="45" t="s">
        <v>227</v>
      </c>
      <c r="E17" s="47" t="n">
        <v>10000</v>
      </c>
      <c r="F17" s="47" t="s">
        <v>65</v>
      </c>
      <c r="G17" s="47" t="s">
        <v>68</v>
      </c>
      <c r="H17" s="47" t="s">
        <v>229</v>
      </c>
      <c r="I17" s="45" t="n">
        <v>8</v>
      </c>
      <c r="J17" s="45" t="n">
        <v>0</v>
      </c>
      <c r="K17" s="45" t="n">
        <v>0</v>
      </c>
      <c r="L17" s="45" t="n">
        <v>0</v>
      </c>
      <c r="M17" s="45" t="n">
        <v>0</v>
      </c>
      <c r="N17" s="45" t="s">
        <v>121</v>
      </c>
      <c r="O17" s="45" t="s">
        <v>121</v>
      </c>
      <c r="P17" s="45" t="s">
        <v>230</v>
      </c>
      <c r="Q17" s="45" t="s">
        <v>231</v>
      </c>
      <c r="R17" s="45" t="s">
        <v>231</v>
      </c>
      <c r="S17" s="45" t="s">
        <v>232</v>
      </c>
      <c r="T17" s="45" t="s">
        <v>231</v>
      </c>
      <c r="U17" s="52" t="s">
        <v>270</v>
      </c>
    </row>
    <row r="18" s="1" customFormat="true" ht="32.15" hidden="false" customHeight="true" outlineLevel="0" collapsed="false">
      <c r="A18" s="56" t="s">
        <v>271</v>
      </c>
      <c r="B18" s="57"/>
      <c r="C18" s="58"/>
      <c r="D18" s="58"/>
      <c r="E18" s="58"/>
      <c r="F18" s="58"/>
      <c r="G18" s="58"/>
      <c r="H18" s="58"/>
      <c r="I18" s="58"/>
      <c r="J18" s="58"/>
      <c r="K18" s="58"/>
      <c r="L18" s="58"/>
      <c r="M18" s="58"/>
      <c r="N18" s="58"/>
      <c r="O18" s="58"/>
      <c r="P18" s="58"/>
      <c r="Q18" s="58"/>
      <c r="R18" s="58"/>
      <c r="S18" s="58"/>
      <c r="T18" s="58"/>
      <c r="U18" s="59"/>
    </row>
    <row r="19" s="40" customFormat="true" ht="70.5" hidden="false" customHeight="true" outlineLevel="0" collapsed="false">
      <c r="A19" s="47" t="n">
        <f aca="false">A17+1</f>
        <v>12</v>
      </c>
      <c r="B19" s="47" t="s">
        <v>137</v>
      </c>
      <c r="C19" s="52" t="s">
        <v>272</v>
      </c>
      <c r="D19" s="45" t="s">
        <v>227</v>
      </c>
      <c r="E19" s="47" t="n">
        <v>100</v>
      </c>
      <c r="F19" s="47" t="s">
        <v>273</v>
      </c>
      <c r="G19" s="47" t="s">
        <v>228</v>
      </c>
      <c r="H19" s="47" t="s">
        <v>229</v>
      </c>
      <c r="I19" s="45" t="n">
        <v>8</v>
      </c>
      <c r="J19" s="45" t="n">
        <v>0</v>
      </c>
      <c r="K19" s="45" t="n">
        <v>0</v>
      </c>
      <c r="L19" s="45" t="n">
        <v>0</v>
      </c>
      <c r="M19" s="45" t="n">
        <v>0</v>
      </c>
      <c r="N19" s="45" t="s">
        <v>121</v>
      </c>
      <c r="O19" s="45" t="s">
        <v>121</v>
      </c>
      <c r="P19" s="45" t="s">
        <v>230</v>
      </c>
      <c r="Q19" s="45" t="s">
        <v>231</v>
      </c>
      <c r="R19" s="45" t="s">
        <v>231</v>
      </c>
      <c r="S19" s="45" t="s">
        <v>232</v>
      </c>
      <c r="T19" s="45" t="s">
        <v>231</v>
      </c>
      <c r="U19" s="52" t="s">
        <v>274</v>
      </c>
    </row>
    <row r="20" s="1" customFormat="true" ht="32.15" hidden="false" customHeight="true" outlineLevel="0" collapsed="false">
      <c r="A20" s="56" t="s">
        <v>275</v>
      </c>
      <c r="B20" s="57"/>
      <c r="C20" s="58"/>
      <c r="D20" s="58"/>
      <c r="E20" s="58"/>
      <c r="F20" s="58"/>
      <c r="G20" s="58"/>
      <c r="H20" s="58"/>
      <c r="I20" s="58"/>
      <c r="J20" s="58"/>
      <c r="K20" s="58"/>
      <c r="L20" s="58"/>
      <c r="M20" s="58"/>
      <c r="N20" s="58"/>
      <c r="O20" s="58"/>
      <c r="P20" s="58"/>
      <c r="Q20" s="58"/>
      <c r="R20" s="58"/>
      <c r="S20" s="58"/>
      <c r="T20" s="58"/>
      <c r="U20" s="59"/>
    </row>
    <row r="21" s="1" customFormat="true" ht="32.15" hidden="false" customHeight="true" outlineLevel="0" collapsed="false">
      <c r="A21" s="53" t="n">
        <f aca="false">A19+1</f>
        <v>13</v>
      </c>
      <c r="B21" s="53" t="s">
        <v>140</v>
      </c>
      <c r="C21" s="65" t="s">
        <v>276</v>
      </c>
      <c r="D21" s="55" t="s">
        <v>227</v>
      </c>
      <c r="E21" s="53" t="n">
        <v>1000</v>
      </c>
      <c r="F21" s="53" t="s">
        <v>78</v>
      </c>
      <c r="G21" s="53" t="s">
        <v>228</v>
      </c>
      <c r="H21" s="53" t="s">
        <v>229</v>
      </c>
      <c r="I21" s="55" t="n">
        <v>8</v>
      </c>
      <c r="J21" s="55" t="n">
        <v>0</v>
      </c>
      <c r="K21" s="55" t="n">
        <v>0</v>
      </c>
      <c r="L21" s="55" t="n">
        <v>0</v>
      </c>
      <c r="M21" s="55" t="n">
        <v>0</v>
      </c>
      <c r="N21" s="55" t="s">
        <v>121</v>
      </c>
      <c r="O21" s="55" t="s">
        <v>121</v>
      </c>
      <c r="P21" s="55" t="s">
        <v>230</v>
      </c>
      <c r="Q21" s="55" t="s">
        <v>231</v>
      </c>
      <c r="R21" s="55" t="s">
        <v>231</v>
      </c>
      <c r="S21" s="55" t="s">
        <v>232</v>
      </c>
      <c r="T21" s="55" t="s">
        <v>231</v>
      </c>
      <c r="U21" s="54" t="s">
        <v>277</v>
      </c>
    </row>
    <row r="22" s="1" customFormat="true" ht="32.15" hidden="false" customHeight="true" outlineLevel="0" collapsed="false">
      <c r="A22" s="53" t="n">
        <f aca="false">A21+1</f>
        <v>14</v>
      </c>
      <c r="B22" s="53" t="s">
        <v>278</v>
      </c>
      <c r="C22" s="65" t="s">
        <v>279</v>
      </c>
      <c r="D22" s="55" t="s">
        <v>227</v>
      </c>
      <c r="E22" s="53" t="n">
        <v>1000</v>
      </c>
      <c r="F22" s="53" t="s">
        <v>78</v>
      </c>
      <c r="G22" s="53" t="s">
        <v>228</v>
      </c>
      <c r="H22" s="53" t="s">
        <v>229</v>
      </c>
      <c r="I22" s="55" t="n">
        <v>8</v>
      </c>
      <c r="J22" s="55" t="n">
        <v>0</v>
      </c>
      <c r="K22" s="55" t="n">
        <v>0</v>
      </c>
      <c r="L22" s="55" t="n">
        <v>0</v>
      </c>
      <c r="M22" s="55" t="n">
        <v>0</v>
      </c>
      <c r="N22" s="55" t="s">
        <v>121</v>
      </c>
      <c r="O22" s="55" t="s">
        <v>121</v>
      </c>
      <c r="P22" s="55" t="s">
        <v>230</v>
      </c>
      <c r="Q22" s="55" t="s">
        <v>231</v>
      </c>
      <c r="R22" s="55" t="s">
        <v>231</v>
      </c>
      <c r="S22" s="55" t="s">
        <v>232</v>
      </c>
      <c r="T22" s="55" t="s">
        <v>231</v>
      </c>
      <c r="U22" s="54" t="s">
        <v>277</v>
      </c>
    </row>
    <row r="23" s="1" customFormat="true" ht="32.15" hidden="false" customHeight="true" outlineLevel="0" collapsed="false">
      <c r="A23" s="53" t="n">
        <f aca="false">A22+1</f>
        <v>15</v>
      </c>
      <c r="B23" s="53" t="s">
        <v>280</v>
      </c>
      <c r="C23" s="65" t="s">
        <v>281</v>
      </c>
      <c r="D23" s="55" t="s">
        <v>227</v>
      </c>
      <c r="E23" s="53" t="n">
        <v>2000</v>
      </c>
      <c r="F23" s="53" t="s">
        <v>78</v>
      </c>
      <c r="G23" s="53" t="s">
        <v>228</v>
      </c>
      <c r="H23" s="53" t="s">
        <v>229</v>
      </c>
      <c r="I23" s="55" t="n">
        <v>8</v>
      </c>
      <c r="J23" s="55" t="n">
        <v>0</v>
      </c>
      <c r="K23" s="55" t="n">
        <v>0</v>
      </c>
      <c r="L23" s="55" t="n">
        <v>0</v>
      </c>
      <c r="M23" s="55" t="n">
        <v>0</v>
      </c>
      <c r="N23" s="55" t="s">
        <v>121</v>
      </c>
      <c r="O23" s="55" t="s">
        <v>121</v>
      </c>
      <c r="P23" s="55" t="s">
        <v>230</v>
      </c>
      <c r="Q23" s="55" t="s">
        <v>231</v>
      </c>
      <c r="R23" s="55" t="s">
        <v>231</v>
      </c>
      <c r="S23" s="55" t="s">
        <v>232</v>
      </c>
      <c r="T23" s="55" t="s">
        <v>231</v>
      </c>
      <c r="U23" s="54" t="s">
        <v>282</v>
      </c>
    </row>
    <row r="24" s="1" customFormat="true" ht="32.15" hidden="false" customHeight="true" outlineLevel="0" collapsed="false">
      <c r="A24" s="53" t="n">
        <f aca="false">A23+1</f>
        <v>16</v>
      </c>
      <c r="B24" s="53" t="s">
        <v>283</v>
      </c>
      <c r="C24" s="65" t="s">
        <v>284</v>
      </c>
      <c r="D24" s="55" t="s">
        <v>227</v>
      </c>
      <c r="E24" s="53" t="n">
        <v>1000</v>
      </c>
      <c r="F24" s="53" t="s">
        <v>78</v>
      </c>
      <c r="G24" s="53" t="s">
        <v>228</v>
      </c>
      <c r="H24" s="53" t="s">
        <v>229</v>
      </c>
      <c r="I24" s="55" t="n">
        <v>8</v>
      </c>
      <c r="J24" s="55" t="n">
        <v>0</v>
      </c>
      <c r="K24" s="55" t="n">
        <v>0</v>
      </c>
      <c r="L24" s="55" t="n">
        <v>0</v>
      </c>
      <c r="M24" s="55" t="n">
        <v>0</v>
      </c>
      <c r="N24" s="55" t="s">
        <v>121</v>
      </c>
      <c r="O24" s="55" t="s">
        <v>121</v>
      </c>
      <c r="P24" s="55" t="s">
        <v>230</v>
      </c>
      <c r="Q24" s="55" t="s">
        <v>231</v>
      </c>
      <c r="R24" s="55" t="s">
        <v>231</v>
      </c>
      <c r="S24" s="55" t="s">
        <v>232</v>
      </c>
      <c r="T24" s="55" t="s">
        <v>231</v>
      </c>
      <c r="U24" s="54" t="s">
        <v>285</v>
      </c>
    </row>
    <row r="25" s="1" customFormat="true" ht="32.15" hidden="false" customHeight="true" outlineLevel="0" collapsed="false">
      <c r="A25" s="53" t="n">
        <f aca="false">A24+1</f>
        <v>17</v>
      </c>
      <c r="B25" s="53" t="s">
        <v>286</v>
      </c>
      <c r="C25" s="65" t="s">
        <v>287</v>
      </c>
      <c r="D25" s="55" t="s">
        <v>227</v>
      </c>
      <c r="E25" s="53" t="n">
        <v>10000</v>
      </c>
      <c r="F25" s="53" t="s">
        <v>78</v>
      </c>
      <c r="G25" s="53" t="s">
        <v>228</v>
      </c>
      <c r="H25" s="53" t="s">
        <v>229</v>
      </c>
      <c r="I25" s="55" t="n">
        <v>8</v>
      </c>
      <c r="J25" s="55" t="n">
        <v>0</v>
      </c>
      <c r="K25" s="55" t="n">
        <v>0</v>
      </c>
      <c r="L25" s="55" t="n">
        <v>0</v>
      </c>
      <c r="M25" s="55" t="n">
        <v>0</v>
      </c>
      <c r="N25" s="55" t="s">
        <v>121</v>
      </c>
      <c r="O25" s="55" t="s">
        <v>121</v>
      </c>
      <c r="P25" s="55" t="s">
        <v>230</v>
      </c>
      <c r="Q25" s="55" t="s">
        <v>231</v>
      </c>
      <c r="R25" s="55" t="s">
        <v>231</v>
      </c>
      <c r="S25" s="55" t="s">
        <v>232</v>
      </c>
      <c r="T25" s="55" t="s">
        <v>231</v>
      </c>
      <c r="U25" s="54" t="s">
        <v>288</v>
      </c>
    </row>
    <row r="26" s="1" customFormat="true" ht="32.15" hidden="false" customHeight="true" outlineLevel="0" collapsed="false">
      <c r="A26" s="56" t="s">
        <v>289</v>
      </c>
      <c r="B26" s="57"/>
      <c r="C26" s="58"/>
      <c r="D26" s="58"/>
      <c r="E26" s="58"/>
      <c r="F26" s="58"/>
      <c r="G26" s="58"/>
      <c r="H26" s="58"/>
      <c r="I26" s="58"/>
      <c r="J26" s="58"/>
      <c r="K26" s="58"/>
      <c r="L26" s="58"/>
      <c r="M26" s="58"/>
      <c r="N26" s="58"/>
      <c r="O26" s="58"/>
      <c r="P26" s="58"/>
      <c r="Q26" s="58"/>
      <c r="R26" s="58"/>
      <c r="S26" s="58"/>
      <c r="T26" s="58"/>
      <c r="U26" s="59"/>
    </row>
    <row r="27" s="1" customFormat="true" ht="32.15" hidden="false" customHeight="true" outlineLevel="0" collapsed="false">
      <c r="A27" s="53" t="n">
        <f aca="false">A25+1</f>
        <v>18</v>
      </c>
      <c r="B27" s="53" t="s">
        <v>290</v>
      </c>
      <c r="C27" s="66" t="s">
        <v>291</v>
      </c>
      <c r="D27" s="67" t="s">
        <v>227</v>
      </c>
      <c r="E27" s="68" t="n">
        <v>100</v>
      </c>
      <c r="F27" s="68" t="s">
        <v>292</v>
      </c>
      <c r="G27" s="68" t="s">
        <v>228</v>
      </c>
      <c r="H27" s="68" t="s">
        <v>229</v>
      </c>
      <c r="I27" s="67" t="n">
        <v>8</v>
      </c>
      <c r="J27" s="67" t="n">
        <v>0</v>
      </c>
      <c r="K27" s="67" t="n">
        <v>0</v>
      </c>
      <c r="L27" s="67" t="n">
        <v>0</v>
      </c>
      <c r="M27" s="67" t="n">
        <v>0</v>
      </c>
      <c r="N27" s="67" t="s">
        <v>121</v>
      </c>
      <c r="O27" s="67" t="s">
        <v>121</v>
      </c>
      <c r="P27" s="67" t="s">
        <v>230</v>
      </c>
      <c r="Q27" s="67" t="s">
        <v>231</v>
      </c>
      <c r="R27" s="67" t="s">
        <v>231</v>
      </c>
      <c r="S27" s="67" t="s">
        <v>232</v>
      </c>
      <c r="T27" s="67" t="s">
        <v>231</v>
      </c>
      <c r="U27" s="69" t="s">
        <v>293</v>
      </c>
    </row>
    <row r="28" s="1" customFormat="true" ht="32.15" hidden="false" customHeight="true" outlineLevel="0" collapsed="false">
      <c r="A28" s="56" t="s">
        <v>294</v>
      </c>
      <c r="B28" s="57"/>
      <c r="C28" s="58"/>
      <c r="D28" s="58"/>
      <c r="E28" s="58"/>
      <c r="F28" s="58"/>
      <c r="G28" s="58"/>
      <c r="H28" s="58"/>
      <c r="I28" s="58"/>
      <c r="J28" s="58"/>
      <c r="K28" s="58"/>
      <c r="L28" s="58"/>
      <c r="M28" s="58"/>
      <c r="N28" s="58"/>
      <c r="O28" s="58"/>
      <c r="P28" s="58"/>
      <c r="Q28" s="58"/>
      <c r="R28" s="58"/>
      <c r="S28" s="58"/>
      <c r="T28" s="58"/>
      <c r="U28" s="59"/>
    </row>
    <row r="29" s="1" customFormat="true" ht="32.15" hidden="false" customHeight="true" outlineLevel="0" collapsed="false">
      <c r="A29" s="53" t="n">
        <f aca="false">A27+1</f>
        <v>19</v>
      </c>
      <c r="B29" s="53" t="s">
        <v>153</v>
      </c>
      <c r="C29" s="65" t="s">
        <v>295</v>
      </c>
      <c r="D29" s="55" t="s">
        <v>227</v>
      </c>
      <c r="E29" s="53" t="n">
        <v>1000</v>
      </c>
      <c r="F29" s="53" t="s">
        <v>109</v>
      </c>
      <c r="G29" s="53" t="s">
        <v>78</v>
      </c>
      <c r="H29" s="53" t="s">
        <v>229</v>
      </c>
      <c r="I29" s="55" t="n">
        <v>8</v>
      </c>
      <c r="J29" s="55" t="n">
        <v>0</v>
      </c>
      <c r="K29" s="55" t="n">
        <v>0</v>
      </c>
      <c r="L29" s="55" t="n">
        <v>0</v>
      </c>
      <c r="M29" s="55" t="n">
        <v>0</v>
      </c>
      <c r="N29" s="55" t="s">
        <v>121</v>
      </c>
      <c r="O29" s="55" t="s">
        <v>121</v>
      </c>
      <c r="P29" s="55" t="s">
        <v>230</v>
      </c>
      <c r="Q29" s="55" t="s">
        <v>231</v>
      </c>
      <c r="R29" s="55" t="s">
        <v>231</v>
      </c>
      <c r="S29" s="55" t="s">
        <v>232</v>
      </c>
      <c r="T29" s="55" t="s">
        <v>231</v>
      </c>
      <c r="U29" s="54" t="s">
        <v>296</v>
      </c>
    </row>
  </sheetData>
  <autoFilter ref="A2:U29"/>
  <printOptions headings="false" gridLines="false" gridLinesSet="true" horizontalCentered="false" verticalCentered="false"/>
  <pageMargins left="0.7" right="0.7" top="0.611111111111111" bottom="0.75" header="0.3" footer="0.511811023622047"/>
  <pageSetup paperSize="9" scale="6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50"/>
  <sheetViews>
    <sheetView showFormulas="false" showGridLines="false" showRowColHeaders="true" showZeros="true" rightToLeft="false" tabSelected="true" showOutlineSymbols="true" defaultGridColor="true" view="normal" topLeftCell="A1" colorId="64" zoomScale="75" zoomScaleNormal="75" zoomScalePageLayoutView="100" workbookViewId="0">
      <pane xSplit="5" ySplit="3" topLeftCell="F63" activePane="bottomRight" state="frozen"/>
      <selection pane="topLeft" activeCell="A1" activeCellId="0" sqref="A1"/>
      <selection pane="topRight" activeCell="F1" activeCellId="0" sqref="F1"/>
      <selection pane="bottomLeft" activeCell="A63" activeCellId="0" sqref="A63"/>
      <selection pane="bottomRight" activeCell="C79" activeCellId="0" sqref="C79"/>
    </sheetView>
  </sheetViews>
  <sheetFormatPr defaultColWidth="14.3828125" defaultRowHeight="16.5" zeroHeight="false" outlineLevelRow="0" outlineLevelCol="0"/>
  <cols>
    <col collapsed="false" customWidth="true" hidden="false" outlineLevel="0" max="1" min="1" style="1" width="7.38"/>
    <col collapsed="false" customWidth="true" hidden="false" outlineLevel="0" max="2" min="2" style="1" width="37.79"/>
    <col collapsed="false" customWidth="true" hidden="false" outlineLevel="0" max="4" min="3" style="1" width="14.52"/>
    <col collapsed="false" customWidth="true" hidden="false" outlineLevel="0" max="5" min="5" style="1" width="34.92"/>
    <col collapsed="false" customWidth="true" hidden="false" outlineLevel="0" max="13" min="6" style="1" width="10.27"/>
    <col collapsed="false" customWidth="true" hidden="false" outlineLevel="0" max="14" min="14" style="1" width="12.32"/>
    <col collapsed="false" customWidth="true" hidden="false" outlineLevel="0" max="15" min="15" style="1" width="12.42"/>
    <col collapsed="false" customWidth="true" hidden="false" outlineLevel="0" max="16" min="16" style="1" width="10.27"/>
    <col collapsed="false" customWidth="true" hidden="false" outlineLevel="0" max="17" min="17" style="1" width="85.34"/>
    <col collapsed="false" customWidth="false" hidden="false" outlineLevel="0" max="16384" min="18" style="1" width="14.38"/>
  </cols>
  <sheetData>
    <row r="1" customFormat="false" ht="33" hidden="false" customHeight="true" outlineLevel="0" collapsed="false">
      <c r="A1" s="35"/>
      <c r="B1" s="19" t="s">
        <v>297</v>
      </c>
      <c r="C1" s="19"/>
      <c r="D1" s="19"/>
      <c r="E1" s="19"/>
      <c r="F1" s="19"/>
      <c r="G1" s="19"/>
      <c r="H1" s="19"/>
      <c r="I1" s="19"/>
      <c r="J1" s="19"/>
      <c r="K1" s="19"/>
      <c r="L1" s="19"/>
      <c r="M1" s="19"/>
      <c r="N1" s="19"/>
      <c r="O1" s="19"/>
      <c r="P1" s="19"/>
      <c r="Q1" s="19"/>
    </row>
    <row r="2" customFormat="false" ht="33" hidden="false" customHeight="true" outlineLevel="0" collapsed="false">
      <c r="A2" s="70" t="s">
        <v>204</v>
      </c>
      <c r="B2" s="70" t="s">
        <v>206</v>
      </c>
      <c r="C2" s="70" t="s">
        <v>209</v>
      </c>
      <c r="D2" s="70" t="s">
        <v>210</v>
      </c>
      <c r="E2" s="70" t="s">
        <v>298</v>
      </c>
      <c r="F2" s="71" t="s">
        <v>299</v>
      </c>
      <c r="G2" s="71"/>
      <c r="H2" s="71"/>
      <c r="I2" s="71"/>
      <c r="J2" s="71"/>
      <c r="K2" s="71" t="s">
        <v>300</v>
      </c>
      <c r="L2" s="71"/>
      <c r="M2" s="71"/>
      <c r="N2" s="71"/>
      <c r="O2" s="71"/>
      <c r="P2" s="71"/>
      <c r="Q2" s="70" t="s">
        <v>4</v>
      </c>
    </row>
    <row r="3" customFormat="false" ht="33" hidden="false" customHeight="true" outlineLevel="0" collapsed="false">
      <c r="A3" s="70"/>
      <c r="B3" s="70"/>
      <c r="C3" s="70"/>
      <c r="D3" s="70"/>
      <c r="E3" s="70"/>
      <c r="F3" s="70" t="s">
        <v>211</v>
      </c>
      <c r="G3" s="70" t="s">
        <v>301</v>
      </c>
      <c r="H3" s="70" t="s">
        <v>302</v>
      </c>
      <c r="I3" s="70" t="s">
        <v>303</v>
      </c>
      <c r="J3" s="70" t="s">
        <v>304</v>
      </c>
      <c r="K3" s="70" t="s">
        <v>213</v>
      </c>
      <c r="L3" s="70" t="s">
        <v>214</v>
      </c>
      <c r="M3" s="70" t="s">
        <v>215</v>
      </c>
      <c r="N3" s="70" t="s">
        <v>216</v>
      </c>
      <c r="O3" s="70" t="s">
        <v>217</v>
      </c>
      <c r="P3" s="70" t="s">
        <v>218</v>
      </c>
      <c r="Q3" s="70"/>
    </row>
    <row r="4" customFormat="false" ht="35.15" hidden="false" customHeight="true" outlineLevel="0" collapsed="false">
      <c r="A4" s="72"/>
      <c r="B4" s="73" t="s">
        <v>130</v>
      </c>
      <c r="C4" s="73"/>
      <c r="D4" s="73"/>
      <c r="E4" s="73"/>
      <c r="F4" s="73"/>
      <c r="G4" s="73"/>
      <c r="H4" s="73"/>
      <c r="I4" s="73"/>
      <c r="J4" s="73"/>
      <c r="K4" s="73"/>
      <c r="L4" s="73"/>
      <c r="M4" s="73"/>
      <c r="N4" s="73"/>
      <c r="O4" s="73"/>
      <c r="P4" s="73"/>
      <c r="Q4" s="74"/>
    </row>
    <row r="5" customFormat="false" ht="35.15" hidden="false" customHeight="true" outlineLevel="0" collapsed="false">
      <c r="A5" s="75" t="n">
        <v>1</v>
      </c>
      <c r="B5" s="76" t="s">
        <v>226</v>
      </c>
      <c r="C5" s="75" t="s">
        <v>121</v>
      </c>
      <c r="D5" s="75" t="s">
        <v>121</v>
      </c>
      <c r="E5" s="76" t="s">
        <v>121</v>
      </c>
      <c r="F5" s="75" t="s">
        <v>121</v>
      </c>
      <c r="G5" s="75" t="s">
        <v>121</v>
      </c>
      <c r="H5" s="75" t="n">
        <f aca="false">SUM(H6:H10)</f>
        <v>64</v>
      </c>
      <c r="I5" s="75" t="s">
        <v>121</v>
      </c>
      <c r="J5" s="75" t="s">
        <v>121</v>
      </c>
      <c r="K5" s="75" t="s">
        <v>121</v>
      </c>
      <c r="L5" s="75" t="s">
        <v>121</v>
      </c>
      <c r="M5" s="75" t="s">
        <v>121</v>
      </c>
      <c r="N5" s="75" t="s">
        <v>121</v>
      </c>
      <c r="O5" s="75" t="s">
        <v>121</v>
      </c>
      <c r="P5" s="75" t="s">
        <v>121</v>
      </c>
      <c r="Q5" s="76" t="s">
        <v>233</v>
      </c>
    </row>
    <row r="6" customFormat="false" ht="100.7" hidden="false" customHeight="true" outlineLevel="0" collapsed="false">
      <c r="A6" s="77"/>
      <c r="B6" s="78" t="s">
        <v>305</v>
      </c>
      <c r="C6" s="79" t="s">
        <v>228</v>
      </c>
      <c r="D6" s="79" t="s">
        <v>228</v>
      </c>
      <c r="E6" s="80" t="s">
        <v>306</v>
      </c>
      <c r="F6" s="79" t="s">
        <v>307</v>
      </c>
      <c r="G6" s="79" t="n">
        <v>0</v>
      </c>
      <c r="H6" s="79" t="n">
        <v>4</v>
      </c>
      <c r="I6" s="79" t="n">
        <v>0</v>
      </c>
      <c r="J6" s="79" t="n">
        <f aca="false">I6+H6-1</f>
        <v>3</v>
      </c>
      <c r="K6" s="79" t="n">
        <v>0</v>
      </c>
      <c r="L6" s="79" t="n">
        <v>1</v>
      </c>
      <c r="M6" s="79" t="n">
        <v>0</v>
      </c>
      <c r="N6" s="79" t="n">
        <v>3</v>
      </c>
      <c r="O6" s="79" t="n">
        <v>0</v>
      </c>
      <c r="P6" s="79" t="s">
        <v>121</v>
      </c>
      <c r="Q6" s="81" t="s">
        <v>308</v>
      </c>
    </row>
    <row r="7" customFormat="false" ht="32" hidden="false" customHeight="true" outlineLevel="0" collapsed="false">
      <c r="A7" s="77"/>
      <c r="B7" s="78"/>
      <c r="C7" s="79"/>
      <c r="D7" s="79"/>
      <c r="E7" s="81" t="s">
        <v>309</v>
      </c>
      <c r="F7" s="79" t="s">
        <v>121</v>
      </c>
      <c r="G7" s="79" t="n">
        <v>0</v>
      </c>
      <c r="H7" s="79" t="n">
        <v>4</v>
      </c>
      <c r="I7" s="79" t="n">
        <v>4</v>
      </c>
      <c r="J7" s="79" t="n">
        <f aca="false">I7+H7-1</f>
        <v>7</v>
      </c>
      <c r="K7" s="79" t="n">
        <v>0</v>
      </c>
      <c r="L7" s="79" t="n">
        <v>0</v>
      </c>
      <c r="M7" s="79" t="n">
        <v>0</v>
      </c>
      <c r="N7" s="79" t="n">
        <v>0</v>
      </c>
      <c r="O7" s="82" t="s">
        <v>310</v>
      </c>
      <c r="P7" s="79" t="s">
        <v>121</v>
      </c>
      <c r="Q7" s="80" t="s">
        <v>311</v>
      </c>
    </row>
    <row r="8" customFormat="false" ht="32" hidden="false" customHeight="true" outlineLevel="0" collapsed="false">
      <c r="A8" s="77"/>
      <c r="B8" s="78"/>
      <c r="C8" s="79"/>
      <c r="D8" s="79"/>
      <c r="E8" s="80" t="s">
        <v>312</v>
      </c>
      <c r="F8" s="79" t="s">
        <v>121</v>
      </c>
      <c r="G8" s="79" t="s">
        <v>313</v>
      </c>
      <c r="H8" s="79" t="n">
        <v>48</v>
      </c>
      <c r="I8" s="79" t="n">
        <v>8</v>
      </c>
      <c r="J8" s="79" t="n">
        <f aca="false">I8+H8-1</f>
        <v>55</v>
      </c>
      <c r="K8" s="79" t="n">
        <v>0</v>
      </c>
      <c r="L8" s="79" t="n">
        <v>0</v>
      </c>
      <c r="M8" s="79" t="n">
        <v>0</v>
      </c>
      <c r="N8" s="79" t="n">
        <v>0</v>
      </c>
      <c r="O8" s="82" t="s">
        <v>122</v>
      </c>
      <c r="P8" s="79" t="s">
        <v>121</v>
      </c>
      <c r="Q8" s="80" t="s">
        <v>311</v>
      </c>
    </row>
    <row r="9" customFormat="false" ht="72.35" hidden="false" customHeight="false" outlineLevel="0" collapsed="false">
      <c r="A9" s="77"/>
      <c r="B9" s="78"/>
      <c r="C9" s="79"/>
      <c r="D9" s="79"/>
      <c r="E9" s="81" t="s">
        <v>314</v>
      </c>
      <c r="F9" s="79" t="s">
        <v>307</v>
      </c>
      <c r="G9" s="79" t="n">
        <v>7</v>
      </c>
      <c r="H9" s="79" t="n">
        <v>4</v>
      </c>
      <c r="I9" s="79" t="n">
        <v>56</v>
      </c>
      <c r="J9" s="79" t="n">
        <f aca="false">I9+H9-1</f>
        <v>59</v>
      </c>
      <c r="K9" s="79" t="n">
        <v>0</v>
      </c>
      <c r="L9" s="79" t="n">
        <v>1</v>
      </c>
      <c r="M9" s="79" t="n">
        <v>0</v>
      </c>
      <c r="N9" s="79" t="n">
        <v>10</v>
      </c>
      <c r="O9" s="79" t="n">
        <v>0</v>
      </c>
      <c r="P9" s="79" t="s">
        <v>121</v>
      </c>
      <c r="Q9" s="81" t="s">
        <v>315</v>
      </c>
    </row>
    <row r="10" customFormat="false" ht="58.2" hidden="false" customHeight="false" outlineLevel="0" collapsed="false">
      <c r="A10" s="77"/>
      <c r="B10" s="78"/>
      <c r="C10" s="79"/>
      <c r="D10" s="79"/>
      <c r="E10" s="80" t="s">
        <v>316</v>
      </c>
      <c r="F10" s="79" t="s">
        <v>307</v>
      </c>
      <c r="G10" s="79" t="n">
        <v>7</v>
      </c>
      <c r="H10" s="79" t="n">
        <v>4</v>
      </c>
      <c r="I10" s="79" t="n">
        <v>60</v>
      </c>
      <c r="J10" s="79" t="n">
        <f aca="false">I10+H10-1</f>
        <v>63</v>
      </c>
      <c r="K10" s="79" t="n">
        <v>0</v>
      </c>
      <c r="L10" s="79" t="n">
        <v>1</v>
      </c>
      <c r="M10" s="79" t="n">
        <v>0</v>
      </c>
      <c r="N10" s="79" t="n">
        <v>10</v>
      </c>
      <c r="O10" s="79" t="n">
        <v>0</v>
      </c>
      <c r="P10" s="79" t="s">
        <v>121</v>
      </c>
      <c r="Q10" s="80" t="s">
        <v>317</v>
      </c>
    </row>
    <row r="11" customFormat="false" ht="38.5" hidden="false" customHeight="true" outlineLevel="0" collapsed="false">
      <c r="A11" s="83" t="n">
        <f aca="false">A5+1</f>
        <v>2</v>
      </c>
      <c r="B11" s="84" t="s">
        <v>235</v>
      </c>
      <c r="C11" s="83" t="s">
        <v>121</v>
      </c>
      <c r="D11" s="83" t="s">
        <v>121</v>
      </c>
      <c r="E11" s="84" t="s">
        <v>121</v>
      </c>
      <c r="F11" s="83" t="s">
        <v>121</v>
      </c>
      <c r="G11" s="83" t="s">
        <v>121</v>
      </c>
      <c r="H11" s="83" t="n">
        <f aca="false">SUM(H12:H19)</f>
        <v>64</v>
      </c>
      <c r="I11" s="83" t="s">
        <v>121</v>
      </c>
      <c r="J11" s="83" t="s">
        <v>121</v>
      </c>
      <c r="K11" s="83" t="s">
        <v>121</v>
      </c>
      <c r="L11" s="83" t="s">
        <v>121</v>
      </c>
      <c r="M11" s="83" t="s">
        <v>121</v>
      </c>
      <c r="N11" s="83" t="s">
        <v>121</v>
      </c>
      <c r="O11" s="83" t="s">
        <v>121</v>
      </c>
      <c r="P11" s="83" t="s">
        <v>121</v>
      </c>
      <c r="Q11" s="84"/>
    </row>
    <row r="12" customFormat="false" ht="38.5" hidden="false" customHeight="true" outlineLevel="0" collapsed="false">
      <c r="A12" s="77"/>
      <c r="B12" s="85" t="s">
        <v>318</v>
      </c>
      <c r="C12" s="86" t="s">
        <v>228</v>
      </c>
      <c r="D12" s="86" t="s">
        <v>228</v>
      </c>
      <c r="E12" s="87" t="s">
        <v>319</v>
      </c>
      <c r="F12" s="86" t="s">
        <v>320</v>
      </c>
      <c r="G12" s="86" t="n">
        <v>0</v>
      </c>
      <c r="H12" s="86" t="n">
        <v>8</v>
      </c>
      <c r="I12" s="86" t="n">
        <v>0</v>
      </c>
      <c r="J12" s="86" t="n">
        <f aca="false">I12+H12-1</f>
        <v>7</v>
      </c>
      <c r="K12" s="86" t="n">
        <v>0</v>
      </c>
      <c r="L12" s="86" t="n">
        <v>1</v>
      </c>
      <c r="M12" s="86" t="n">
        <v>0</v>
      </c>
      <c r="N12" s="86" t="n">
        <v>255</v>
      </c>
      <c r="O12" s="86" t="n">
        <v>0</v>
      </c>
      <c r="P12" s="86" t="s">
        <v>121</v>
      </c>
      <c r="Q12" s="87" t="s">
        <v>321</v>
      </c>
    </row>
    <row r="13" customFormat="false" ht="38.5" hidden="false" customHeight="true" outlineLevel="0" collapsed="false">
      <c r="A13" s="77"/>
      <c r="B13" s="85"/>
      <c r="C13" s="86"/>
      <c r="D13" s="86"/>
      <c r="E13" s="87" t="s">
        <v>322</v>
      </c>
      <c r="F13" s="86" t="s">
        <v>320</v>
      </c>
      <c r="G13" s="86" t="n">
        <v>1</v>
      </c>
      <c r="H13" s="86" t="n">
        <v>8</v>
      </c>
      <c r="I13" s="86" t="n">
        <v>8</v>
      </c>
      <c r="J13" s="86" t="n">
        <f aca="false">I13+H13-1</f>
        <v>15</v>
      </c>
      <c r="K13" s="86" t="n">
        <v>0</v>
      </c>
      <c r="L13" s="86" t="n">
        <v>1</v>
      </c>
      <c r="M13" s="86" t="n">
        <v>0</v>
      </c>
      <c r="N13" s="86" t="n">
        <v>255</v>
      </c>
      <c r="O13" s="86" t="n">
        <v>0</v>
      </c>
      <c r="P13" s="86" t="s">
        <v>121</v>
      </c>
      <c r="Q13" s="87" t="s">
        <v>321</v>
      </c>
    </row>
    <row r="14" customFormat="false" ht="38.5" hidden="false" customHeight="true" outlineLevel="0" collapsed="false">
      <c r="A14" s="77"/>
      <c r="B14" s="85"/>
      <c r="C14" s="86"/>
      <c r="D14" s="86"/>
      <c r="E14" s="87" t="s">
        <v>323</v>
      </c>
      <c r="F14" s="86" t="s">
        <v>320</v>
      </c>
      <c r="G14" s="86" t="n">
        <v>2</v>
      </c>
      <c r="H14" s="86" t="n">
        <v>8</v>
      </c>
      <c r="I14" s="86" t="n">
        <v>16</v>
      </c>
      <c r="J14" s="86" t="n">
        <f aca="false">I14+H14-1</f>
        <v>23</v>
      </c>
      <c r="K14" s="86" t="n">
        <v>0</v>
      </c>
      <c r="L14" s="86" t="n">
        <v>1</v>
      </c>
      <c r="M14" s="86" t="n">
        <v>0</v>
      </c>
      <c r="N14" s="86" t="n">
        <v>255</v>
      </c>
      <c r="O14" s="86" t="n">
        <v>0</v>
      </c>
      <c r="P14" s="86" t="s">
        <v>121</v>
      </c>
      <c r="Q14" s="87" t="s">
        <v>321</v>
      </c>
    </row>
    <row r="15" customFormat="false" ht="38.5" hidden="false" customHeight="true" outlineLevel="0" collapsed="false">
      <c r="A15" s="77"/>
      <c r="B15" s="85"/>
      <c r="C15" s="86"/>
      <c r="D15" s="86"/>
      <c r="E15" s="87" t="s">
        <v>324</v>
      </c>
      <c r="F15" s="86" t="s">
        <v>320</v>
      </c>
      <c r="G15" s="86" t="n">
        <v>3</v>
      </c>
      <c r="H15" s="86" t="n">
        <v>8</v>
      </c>
      <c r="I15" s="86" t="n">
        <v>24</v>
      </c>
      <c r="J15" s="86" t="n">
        <f aca="false">I15+H15-1</f>
        <v>31</v>
      </c>
      <c r="K15" s="86" t="n">
        <v>0</v>
      </c>
      <c r="L15" s="86" t="n">
        <v>1</v>
      </c>
      <c r="M15" s="86" t="n">
        <v>0</v>
      </c>
      <c r="N15" s="86" t="n">
        <v>255</v>
      </c>
      <c r="O15" s="86" t="n">
        <v>0</v>
      </c>
      <c r="P15" s="86" t="s">
        <v>121</v>
      </c>
      <c r="Q15" s="87" t="s">
        <v>321</v>
      </c>
    </row>
    <row r="16" customFormat="false" ht="38.5" hidden="false" customHeight="true" outlineLevel="0" collapsed="false">
      <c r="A16" s="77"/>
      <c r="B16" s="85"/>
      <c r="C16" s="86"/>
      <c r="D16" s="86"/>
      <c r="E16" s="87" t="s">
        <v>325</v>
      </c>
      <c r="F16" s="86" t="s">
        <v>320</v>
      </c>
      <c r="G16" s="86" t="n">
        <v>4</v>
      </c>
      <c r="H16" s="86" t="n">
        <v>8</v>
      </c>
      <c r="I16" s="86" t="n">
        <v>32</v>
      </c>
      <c r="J16" s="86" t="n">
        <f aca="false">I16+H16-1</f>
        <v>39</v>
      </c>
      <c r="K16" s="86" t="n">
        <v>0</v>
      </c>
      <c r="L16" s="86" t="n">
        <v>1</v>
      </c>
      <c r="M16" s="86" t="n">
        <v>0</v>
      </c>
      <c r="N16" s="86" t="n">
        <v>255</v>
      </c>
      <c r="O16" s="86" t="n">
        <v>0</v>
      </c>
      <c r="P16" s="86" t="s">
        <v>121</v>
      </c>
      <c r="Q16" s="87" t="s">
        <v>321</v>
      </c>
    </row>
    <row r="17" customFormat="false" ht="38.5" hidden="false" customHeight="true" outlineLevel="0" collapsed="false">
      <c r="A17" s="77"/>
      <c r="B17" s="85"/>
      <c r="C17" s="86"/>
      <c r="D17" s="86"/>
      <c r="E17" s="87" t="s">
        <v>326</v>
      </c>
      <c r="F17" s="86" t="s">
        <v>320</v>
      </c>
      <c r="G17" s="86" t="n">
        <v>5</v>
      </c>
      <c r="H17" s="86" t="n">
        <v>8</v>
      </c>
      <c r="I17" s="86" t="n">
        <v>40</v>
      </c>
      <c r="J17" s="86" t="n">
        <f aca="false">I17+H17-1</f>
        <v>47</v>
      </c>
      <c r="K17" s="86" t="n">
        <v>0</v>
      </c>
      <c r="L17" s="86" t="n">
        <v>1</v>
      </c>
      <c r="M17" s="86" t="n">
        <v>0</v>
      </c>
      <c r="N17" s="86" t="n">
        <v>255</v>
      </c>
      <c r="O17" s="86" t="n">
        <v>0</v>
      </c>
      <c r="P17" s="86" t="s">
        <v>121</v>
      </c>
      <c r="Q17" s="87" t="s">
        <v>321</v>
      </c>
    </row>
    <row r="18" customFormat="false" ht="38.5" hidden="false" customHeight="true" outlineLevel="0" collapsed="false">
      <c r="A18" s="77"/>
      <c r="B18" s="85"/>
      <c r="C18" s="86"/>
      <c r="D18" s="86"/>
      <c r="E18" s="87" t="s">
        <v>327</v>
      </c>
      <c r="F18" s="86" t="s">
        <v>320</v>
      </c>
      <c r="G18" s="86" t="n">
        <v>6</v>
      </c>
      <c r="H18" s="86" t="n">
        <v>8</v>
      </c>
      <c r="I18" s="86" t="n">
        <v>48</v>
      </c>
      <c r="J18" s="86" t="n">
        <f aca="false">I18+H18-1</f>
        <v>55</v>
      </c>
      <c r="K18" s="86" t="n">
        <v>0</v>
      </c>
      <c r="L18" s="86" t="n">
        <v>1</v>
      </c>
      <c r="M18" s="86" t="n">
        <v>0</v>
      </c>
      <c r="N18" s="86" t="n">
        <v>255</v>
      </c>
      <c r="O18" s="86" t="n">
        <v>0</v>
      </c>
      <c r="P18" s="86" t="s">
        <v>121</v>
      </c>
      <c r="Q18" s="87" t="s">
        <v>321</v>
      </c>
    </row>
    <row r="19" customFormat="false" ht="38.5" hidden="false" customHeight="true" outlineLevel="0" collapsed="false">
      <c r="A19" s="77"/>
      <c r="B19" s="85"/>
      <c r="C19" s="86"/>
      <c r="D19" s="86"/>
      <c r="E19" s="87" t="s">
        <v>328</v>
      </c>
      <c r="F19" s="86" t="s">
        <v>320</v>
      </c>
      <c r="G19" s="86" t="n">
        <v>7</v>
      </c>
      <c r="H19" s="86" t="n">
        <v>8</v>
      </c>
      <c r="I19" s="86" t="n">
        <v>56</v>
      </c>
      <c r="J19" s="86" t="n">
        <f aca="false">I19+H19-1</f>
        <v>63</v>
      </c>
      <c r="K19" s="86" t="n">
        <v>0</v>
      </c>
      <c r="L19" s="86" t="n">
        <v>1</v>
      </c>
      <c r="M19" s="86" t="n">
        <v>0</v>
      </c>
      <c r="N19" s="86" t="n">
        <v>255</v>
      </c>
      <c r="O19" s="86" t="n">
        <v>0</v>
      </c>
      <c r="P19" s="86" t="s">
        <v>121</v>
      </c>
      <c r="Q19" s="87" t="s">
        <v>321</v>
      </c>
    </row>
    <row r="20" customFormat="false" ht="35.15" hidden="false" customHeight="true" outlineLevel="0" collapsed="false">
      <c r="A20" s="75" t="n">
        <f aca="false">A11+1</f>
        <v>3</v>
      </c>
      <c r="B20" s="88" t="s">
        <v>238</v>
      </c>
      <c r="C20" s="75" t="s">
        <v>121</v>
      </c>
      <c r="D20" s="75" t="s">
        <v>121</v>
      </c>
      <c r="E20" s="76" t="s">
        <v>121</v>
      </c>
      <c r="F20" s="75" t="s">
        <v>121</v>
      </c>
      <c r="G20" s="75" t="s">
        <v>121</v>
      </c>
      <c r="H20" s="75" t="n">
        <f aca="false">SUM(H21:H24)</f>
        <v>64</v>
      </c>
      <c r="I20" s="75" t="s">
        <v>121</v>
      </c>
      <c r="J20" s="75" t="s">
        <v>121</v>
      </c>
      <c r="K20" s="75" t="s">
        <v>121</v>
      </c>
      <c r="L20" s="75" t="s">
        <v>121</v>
      </c>
      <c r="M20" s="75" t="s">
        <v>121</v>
      </c>
      <c r="N20" s="75" t="s">
        <v>121</v>
      </c>
      <c r="O20" s="75" t="s">
        <v>121</v>
      </c>
      <c r="P20" s="75" t="s">
        <v>121</v>
      </c>
      <c r="Q20" s="76" t="s">
        <v>233</v>
      </c>
    </row>
    <row r="21" customFormat="false" ht="72.35" hidden="false" customHeight="true" outlineLevel="0" collapsed="false">
      <c r="A21" s="77"/>
      <c r="B21" s="89" t="s">
        <v>329</v>
      </c>
      <c r="C21" s="90" t="s">
        <v>330</v>
      </c>
      <c r="D21" s="86" t="s">
        <v>228</v>
      </c>
      <c r="E21" s="54" t="s">
        <v>331</v>
      </c>
      <c r="F21" s="86" t="s">
        <v>121</v>
      </c>
      <c r="G21" s="86" t="n">
        <v>0</v>
      </c>
      <c r="H21" s="86" t="n">
        <v>8</v>
      </c>
      <c r="I21" s="86" t="n">
        <v>0</v>
      </c>
      <c r="J21" s="86" t="n">
        <f aca="false">I21+H21-1</f>
        <v>7</v>
      </c>
      <c r="K21" s="86" t="n">
        <v>0</v>
      </c>
      <c r="L21" s="86" t="n">
        <v>1</v>
      </c>
      <c r="M21" s="86" t="n">
        <v>0</v>
      </c>
      <c r="N21" s="86" t="n">
        <v>2</v>
      </c>
      <c r="O21" s="86" t="n">
        <v>0</v>
      </c>
      <c r="P21" s="86" t="s">
        <v>121</v>
      </c>
      <c r="Q21" s="81" t="s">
        <v>332</v>
      </c>
    </row>
    <row r="22" customFormat="false" ht="32" hidden="false" customHeight="true" outlineLevel="0" collapsed="false">
      <c r="A22" s="77"/>
      <c r="B22" s="89"/>
      <c r="C22" s="90"/>
      <c r="D22" s="90"/>
      <c r="E22" s="87" t="s">
        <v>312</v>
      </c>
      <c r="F22" s="86" t="s">
        <v>121</v>
      </c>
      <c r="G22" s="86" t="s">
        <v>313</v>
      </c>
      <c r="H22" s="86" t="n">
        <v>48</v>
      </c>
      <c r="I22" s="86" t="n">
        <v>8</v>
      </c>
      <c r="J22" s="86" t="n">
        <f aca="false">I22+H22-1</f>
        <v>55</v>
      </c>
      <c r="K22" s="86" t="n">
        <v>0</v>
      </c>
      <c r="L22" s="86" t="n">
        <v>0</v>
      </c>
      <c r="M22" s="86" t="n">
        <v>0</v>
      </c>
      <c r="N22" s="86" t="n">
        <v>0</v>
      </c>
      <c r="O22" s="53" t="s">
        <v>122</v>
      </c>
      <c r="P22" s="86" t="s">
        <v>121</v>
      </c>
      <c r="Q22" s="87" t="s">
        <v>311</v>
      </c>
    </row>
    <row r="23" customFormat="false" ht="72.35" hidden="false" customHeight="false" outlineLevel="0" collapsed="false">
      <c r="A23" s="77"/>
      <c r="B23" s="89"/>
      <c r="C23" s="90"/>
      <c r="D23" s="90"/>
      <c r="E23" s="54" t="s">
        <v>314</v>
      </c>
      <c r="F23" s="86" t="s">
        <v>307</v>
      </c>
      <c r="G23" s="86" t="n">
        <v>7</v>
      </c>
      <c r="H23" s="86" t="n">
        <v>4</v>
      </c>
      <c r="I23" s="86" t="n">
        <v>56</v>
      </c>
      <c r="J23" s="86" t="n">
        <f aca="false">I23+H23-1</f>
        <v>59</v>
      </c>
      <c r="K23" s="86" t="n">
        <v>0</v>
      </c>
      <c r="L23" s="86" t="n">
        <v>1</v>
      </c>
      <c r="M23" s="86" t="n">
        <v>0</v>
      </c>
      <c r="N23" s="86" t="n">
        <v>10</v>
      </c>
      <c r="O23" s="86" t="n">
        <v>0</v>
      </c>
      <c r="P23" s="86" t="s">
        <v>121</v>
      </c>
      <c r="Q23" s="54" t="s">
        <v>333</v>
      </c>
    </row>
    <row r="24" customFormat="false" ht="58.2" hidden="false" customHeight="false" outlineLevel="0" collapsed="false">
      <c r="A24" s="77"/>
      <c r="B24" s="89"/>
      <c r="C24" s="90"/>
      <c r="D24" s="90"/>
      <c r="E24" s="87" t="s">
        <v>316</v>
      </c>
      <c r="F24" s="86" t="s">
        <v>307</v>
      </c>
      <c r="G24" s="86" t="n">
        <v>7</v>
      </c>
      <c r="H24" s="86" t="n">
        <v>4</v>
      </c>
      <c r="I24" s="86" t="n">
        <v>60</v>
      </c>
      <c r="J24" s="86" t="n">
        <f aca="false">I24+H24-1</f>
        <v>63</v>
      </c>
      <c r="K24" s="86" t="n">
        <v>0</v>
      </c>
      <c r="L24" s="86" t="n">
        <v>1</v>
      </c>
      <c r="M24" s="86" t="n">
        <v>0</v>
      </c>
      <c r="N24" s="86" t="n">
        <v>10</v>
      </c>
      <c r="O24" s="86" t="n">
        <v>0</v>
      </c>
      <c r="P24" s="86" t="s">
        <v>121</v>
      </c>
      <c r="Q24" s="87" t="s">
        <v>317</v>
      </c>
    </row>
    <row r="25" customFormat="false" ht="35.15" hidden="false" customHeight="true" outlineLevel="0" collapsed="false">
      <c r="A25" s="75" t="n">
        <f aca="false">A20+1</f>
        <v>4</v>
      </c>
      <c r="B25" s="88" t="s">
        <v>241</v>
      </c>
      <c r="C25" s="75" t="s">
        <v>121</v>
      </c>
      <c r="D25" s="75" t="s">
        <v>121</v>
      </c>
      <c r="E25" s="76" t="s">
        <v>121</v>
      </c>
      <c r="F25" s="75" t="s">
        <v>121</v>
      </c>
      <c r="G25" s="75" t="s">
        <v>121</v>
      </c>
      <c r="H25" s="75" t="n">
        <f aca="false">SUM(H26:H30)</f>
        <v>64</v>
      </c>
      <c r="I25" s="75" t="s">
        <v>121</v>
      </c>
      <c r="J25" s="75" t="s">
        <v>121</v>
      </c>
      <c r="K25" s="75" t="s">
        <v>121</v>
      </c>
      <c r="L25" s="75" t="s">
        <v>121</v>
      </c>
      <c r="M25" s="75" t="s">
        <v>121</v>
      </c>
      <c r="N25" s="75" t="s">
        <v>121</v>
      </c>
      <c r="O25" s="75" t="s">
        <v>121</v>
      </c>
      <c r="P25" s="75" t="s">
        <v>121</v>
      </c>
      <c r="Q25" s="76" t="s">
        <v>233</v>
      </c>
    </row>
    <row r="26" customFormat="false" ht="72.35" hidden="false" customHeight="true" outlineLevel="0" collapsed="false">
      <c r="A26" s="77"/>
      <c r="B26" s="78" t="s">
        <v>334</v>
      </c>
      <c r="C26" s="82" t="s">
        <v>92</v>
      </c>
      <c r="D26" s="79" t="s">
        <v>228</v>
      </c>
      <c r="E26" s="81" t="s">
        <v>335</v>
      </c>
      <c r="F26" s="79" t="s">
        <v>121</v>
      </c>
      <c r="G26" s="79" t="n">
        <v>0</v>
      </c>
      <c r="H26" s="79" t="n">
        <v>8</v>
      </c>
      <c r="I26" s="79" t="n">
        <v>0</v>
      </c>
      <c r="J26" s="79" t="n">
        <f aca="false">I26+H26-1</f>
        <v>7</v>
      </c>
      <c r="K26" s="79" t="n">
        <v>0</v>
      </c>
      <c r="L26" s="79" t="n">
        <v>1</v>
      </c>
      <c r="M26" s="79" t="n">
        <v>0</v>
      </c>
      <c r="N26" s="79" t="n">
        <v>2</v>
      </c>
      <c r="O26" s="79" t="n">
        <v>0</v>
      </c>
      <c r="P26" s="79" t="s">
        <v>121</v>
      </c>
      <c r="Q26" s="81" t="s">
        <v>336</v>
      </c>
    </row>
    <row r="27" customFormat="false" ht="72.35" hidden="false" customHeight="false" outlineLevel="0" collapsed="false">
      <c r="A27" s="77"/>
      <c r="B27" s="78"/>
      <c r="C27" s="82"/>
      <c r="D27" s="82"/>
      <c r="E27" s="81" t="s">
        <v>337</v>
      </c>
      <c r="F27" s="79" t="s">
        <v>121</v>
      </c>
      <c r="G27" s="79" t="n">
        <v>1</v>
      </c>
      <c r="H27" s="79" t="n">
        <v>8</v>
      </c>
      <c r="I27" s="79" t="n">
        <v>8</v>
      </c>
      <c r="J27" s="79" t="n">
        <f aca="false">I27+H27-1</f>
        <v>15</v>
      </c>
      <c r="K27" s="79" t="n">
        <v>0</v>
      </c>
      <c r="L27" s="79" t="n">
        <v>1</v>
      </c>
      <c r="M27" s="79" t="n">
        <v>0</v>
      </c>
      <c r="N27" s="79" t="n">
        <v>2</v>
      </c>
      <c r="O27" s="79" t="n">
        <v>0</v>
      </c>
      <c r="P27" s="79" t="s">
        <v>121</v>
      </c>
      <c r="Q27" s="81" t="s">
        <v>338</v>
      </c>
    </row>
    <row r="28" customFormat="false" ht="32" hidden="false" customHeight="true" outlineLevel="0" collapsed="false">
      <c r="A28" s="77"/>
      <c r="B28" s="78"/>
      <c r="C28" s="82"/>
      <c r="D28" s="82"/>
      <c r="E28" s="81" t="s">
        <v>339</v>
      </c>
      <c r="F28" s="79" t="s">
        <v>121</v>
      </c>
      <c r="G28" s="82" t="s">
        <v>340</v>
      </c>
      <c r="H28" s="79" t="n">
        <v>40</v>
      </c>
      <c r="I28" s="79" t="n">
        <v>16</v>
      </c>
      <c r="J28" s="79" t="n">
        <f aca="false">I28+H28-1</f>
        <v>55</v>
      </c>
      <c r="K28" s="79" t="n">
        <v>0</v>
      </c>
      <c r="L28" s="79" t="n">
        <v>0</v>
      </c>
      <c r="M28" s="79" t="n">
        <v>0</v>
      </c>
      <c r="N28" s="79" t="n">
        <v>0</v>
      </c>
      <c r="O28" s="82" t="s">
        <v>122</v>
      </c>
      <c r="P28" s="79" t="s">
        <v>121</v>
      </c>
      <c r="Q28" s="80" t="s">
        <v>311</v>
      </c>
    </row>
    <row r="29" customFormat="false" ht="72.35" hidden="false" customHeight="false" outlineLevel="0" collapsed="false">
      <c r="A29" s="77"/>
      <c r="B29" s="78"/>
      <c r="C29" s="82"/>
      <c r="D29" s="82"/>
      <c r="E29" s="81" t="s">
        <v>314</v>
      </c>
      <c r="F29" s="79" t="s">
        <v>307</v>
      </c>
      <c r="G29" s="79" t="n">
        <v>7</v>
      </c>
      <c r="H29" s="79" t="n">
        <v>4</v>
      </c>
      <c r="I29" s="79" t="n">
        <v>56</v>
      </c>
      <c r="J29" s="79" t="n">
        <f aca="false">I29+H29-1</f>
        <v>59</v>
      </c>
      <c r="K29" s="79" t="n">
        <v>0</v>
      </c>
      <c r="L29" s="79" t="n">
        <v>1</v>
      </c>
      <c r="M29" s="79" t="n">
        <v>0</v>
      </c>
      <c r="N29" s="79" t="n">
        <v>10</v>
      </c>
      <c r="O29" s="79" t="n">
        <v>0</v>
      </c>
      <c r="P29" s="79" t="s">
        <v>121</v>
      </c>
      <c r="Q29" s="81" t="s">
        <v>341</v>
      </c>
    </row>
    <row r="30" customFormat="false" ht="58.2" hidden="false" customHeight="false" outlineLevel="0" collapsed="false">
      <c r="A30" s="77"/>
      <c r="B30" s="78"/>
      <c r="C30" s="82"/>
      <c r="D30" s="82"/>
      <c r="E30" s="80" t="s">
        <v>316</v>
      </c>
      <c r="F30" s="79" t="s">
        <v>307</v>
      </c>
      <c r="G30" s="79" t="n">
        <v>7</v>
      </c>
      <c r="H30" s="79" t="n">
        <v>4</v>
      </c>
      <c r="I30" s="79" t="n">
        <v>60</v>
      </c>
      <c r="J30" s="79" t="n">
        <f aca="false">I30+H30-1</f>
        <v>63</v>
      </c>
      <c r="K30" s="79" t="n">
        <v>0</v>
      </c>
      <c r="L30" s="79" t="n">
        <v>1</v>
      </c>
      <c r="M30" s="79" t="n">
        <v>0</v>
      </c>
      <c r="N30" s="79" t="n">
        <v>10</v>
      </c>
      <c r="O30" s="79" t="n">
        <v>0</v>
      </c>
      <c r="P30" s="79" t="s">
        <v>121</v>
      </c>
      <c r="Q30" s="80" t="s">
        <v>317</v>
      </c>
    </row>
    <row r="31" customFormat="false" ht="35.15" hidden="false" customHeight="true" outlineLevel="0" collapsed="false">
      <c r="A31" s="91"/>
      <c r="B31" s="92" t="s">
        <v>342</v>
      </c>
      <c r="C31" s="92"/>
      <c r="D31" s="92"/>
      <c r="E31" s="92"/>
      <c r="F31" s="92"/>
      <c r="G31" s="92"/>
      <c r="H31" s="92"/>
      <c r="I31" s="92"/>
      <c r="J31" s="92"/>
      <c r="K31" s="92"/>
      <c r="L31" s="92"/>
      <c r="M31" s="92"/>
      <c r="N31" s="92"/>
      <c r="O31" s="92"/>
      <c r="P31" s="92"/>
      <c r="Q31" s="93"/>
    </row>
    <row r="32" customFormat="false" ht="35.15" hidden="false" customHeight="true" outlineLevel="0" collapsed="false">
      <c r="A32" s="94" t="n">
        <f aca="false">A25+1</f>
        <v>5</v>
      </c>
      <c r="B32" s="95" t="s">
        <v>245</v>
      </c>
      <c r="C32" s="96" t="s">
        <v>121</v>
      </c>
      <c r="D32" s="96" t="s">
        <v>121</v>
      </c>
      <c r="E32" s="97" t="s">
        <v>121</v>
      </c>
      <c r="F32" s="96" t="s">
        <v>121</v>
      </c>
      <c r="G32" s="96" t="s">
        <v>121</v>
      </c>
      <c r="H32" s="96" t="n">
        <f aca="false">SUM(H33:H44)</f>
        <v>64</v>
      </c>
      <c r="I32" s="96" t="s">
        <v>121</v>
      </c>
      <c r="J32" s="96" t="s">
        <v>121</v>
      </c>
      <c r="K32" s="96" t="s">
        <v>121</v>
      </c>
      <c r="L32" s="96" t="s">
        <v>121</v>
      </c>
      <c r="M32" s="96" t="s">
        <v>121</v>
      </c>
      <c r="N32" s="96" t="s">
        <v>121</v>
      </c>
      <c r="O32" s="96" t="s">
        <v>121</v>
      </c>
      <c r="P32" s="96" t="s">
        <v>121</v>
      </c>
      <c r="Q32" s="97"/>
    </row>
    <row r="33" customFormat="false" ht="58.5" hidden="false" customHeight="true" outlineLevel="0" collapsed="false">
      <c r="A33" s="98"/>
      <c r="B33" s="99" t="s">
        <v>343</v>
      </c>
      <c r="C33" s="100" t="s">
        <v>65</v>
      </c>
      <c r="D33" s="100" t="s">
        <v>228</v>
      </c>
      <c r="E33" s="101" t="s">
        <v>344</v>
      </c>
      <c r="F33" s="102" t="s">
        <v>345</v>
      </c>
      <c r="G33" s="102" t="s">
        <v>346</v>
      </c>
      <c r="H33" s="102" t="n">
        <v>16</v>
      </c>
      <c r="I33" s="102" t="n">
        <v>0</v>
      </c>
      <c r="J33" s="102" t="n">
        <f aca="false">I33+H33-1</f>
        <v>15</v>
      </c>
      <c r="K33" s="102" t="n">
        <v>0</v>
      </c>
      <c r="L33" s="102" t="n">
        <v>0.1</v>
      </c>
      <c r="M33" s="102" t="n">
        <v>0</v>
      </c>
      <c r="N33" s="102" t="n">
        <v>100</v>
      </c>
      <c r="O33" s="102" t="n">
        <v>0</v>
      </c>
      <c r="P33" s="102" t="s">
        <v>347</v>
      </c>
      <c r="Q33" s="101" t="s">
        <v>348</v>
      </c>
    </row>
    <row r="34" customFormat="false" ht="58.5" hidden="true" customHeight="true" outlineLevel="0" collapsed="false">
      <c r="A34" s="98"/>
      <c r="B34" s="99"/>
      <c r="C34" s="100"/>
      <c r="D34" s="100"/>
      <c r="E34" s="87" t="s">
        <v>349</v>
      </c>
      <c r="F34" s="86" t="s">
        <v>320</v>
      </c>
      <c r="G34" s="86" t="n">
        <v>2</v>
      </c>
      <c r="H34" s="86" t="n">
        <v>8</v>
      </c>
      <c r="I34" s="86" t="n">
        <v>16</v>
      </c>
      <c r="J34" s="86" t="n">
        <f aca="false">I34+H34-1</f>
        <v>23</v>
      </c>
      <c r="K34" s="86" t="n">
        <v>0</v>
      </c>
      <c r="L34" s="86" t="n">
        <v>1</v>
      </c>
      <c r="M34" s="86" t="n">
        <v>0</v>
      </c>
      <c r="N34" s="86" t="n">
        <v>250</v>
      </c>
      <c r="O34" s="86" t="n">
        <v>0</v>
      </c>
      <c r="P34" s="86" t="s">
        <v>350</v>
      </c>
      <c r="Q34" s="87" t="s">
        <v>351</v>
      </c>
    </row>
    <row r="35" customFormat="false" ht="58.2" hidden="true" customHeight="false" outlineLevel="0" collapsed="false">
      <c r="A35" s="98"/>
      <c r="B35" s="99"/>
      <c r="C35" s="100"/>
      <c r="D35" s="100"/>
      <c r="E35" s="87" t="s">
        <v>352</v>
      </c>
      <c r="F35" s="86" t="s">
        <v>320</v>
      </c>
      <c r="G35" s="86" t="n">
        <v>3</v>
      </c>
      <c r="H35" s="86" t="n">
        <v>8</v>
      </c>
      <c r="I35" s="86" t="n">
        <v>24</v>
      </c>
      <c r="J35" s="86" t="n">
        <f aca="false">I35+H35-1</f>
        <v>31</v>
      </c>
      <c r="K35" s="86" t="n">
        <v>0</v>
      </c>
      <c r="L35" s="86" t="n">
        <v>1</v>
      </c>
      <c r="M35" s="86" t="n">
        <v>0</v>
      </c>
      <c r="N35" s="86" t="n">
        <v>100</v>
      </c>
      <c r="O35" s="86" t="n">
        <v>0</v>
      </c>
      <c r="P35" s="86" t="s">
        <v>353</v>
      </c>
      <c r="Q35" s="87" t="s">
        <v>354</v>
      </c>
    </row>
    <row r="36" customFormat="false" ht="58.5" hidden="true" customHeight="true" outlineLevel="0" collapsed="false">
      <c r="A36" s="98"/>
      <c r="B36" s="99"/>
      <c r="C36" s="100"/>
      <c r="D36" s="100"/>
      <c r="E36" s="87" t="s">
        <v>355</v>
      </c>
      <c r="F36" s="86" t="s">
        <v>307</v>
      </c>
      <c r="G36" s="86" t="n">
        <v>4</v>
      </c>
      <c r="H36" s="86" t="n">
        <v>4</v>
      </c>
      <c r="I36" s="86" t="n">
        <v>32</v>
      </c>
      <c r="J36" s="86" t="n">
        <f aca="false">I36+H36-1</f>
        <v>35</v>
      </c>
      <c r="K36" s="86" t="n">
        <v>0</v>
      </c>
      <c r="L36" s="86" t="n">
        <v>1</v>
      </c>
      <c r="M36" s="86" t="n">
        <v>1</v>
      </c>
      <c r="N36" s="86" t="n">
        <v>3</v>
      </c>
      <c r="O36" s="86" t="n">
        <v>0</v>
      </c>
      <c r="P36" s="86" t="s">
        <v>121</v>
      </c>
      <c r="Q36" s="87" t="s">
        <v>356</v>
      </c>
    </row>
    <row r="37" customFormat="false" ht="58.5" hidden="true" customHeight="true" outlineLevel="0" collapsed="false">
      <c r="A37" s="98"/>
      <c r="B37" s="99"/>
      <c r="C37" s="100"/>
      <c r="D37" s="100"/>
      <c r="E37" s="87" t="s">
        <v>357</v>
      </c>
      <c r="F37" s="86" t="s">
        <v>307</v>
      </c>
      <c r="G37" s="86" t="n">
        <v>4</v>
      </c>
      <c r="H37" s="86" t="n">
        <v>4</v>
      </c>
      <c r="I37" s="86" t="n">
        <v>36</v>
      </c>
      <c r="J37" s="86" t="n">
        <f aca="false">I37+H37-1</f>
        <v>39</v>
      </c>
      <c r="K37" s="86" t="n">
        <v>0</v>
      </c>
      <c r="L37" s="86" t="n">
        <v>1</v>
      </c>
      <c r="M37" s="86" t="n">
        <v>1</v>
      </c>
      <c r="N37" s="86" t="n">
        <v>14</v>
      </c>
      <c r="O37" s="86" t="n">
        <v>0</v>
      </c>
      <c r="P37" s="86" t="s">
        <v>121</v>
      </c>
      <c r="Q37" s="87" t="s">
        <v>358</v>
      </c>
    </row>
    <row r="38" customFormat="false" ht="72.35" hidden="true" customHeight="false" outlineLevel="0" collapsed="false">
      <c r="A38" s="98"/>
      <c r="B38" s="99"/>
      <c r="C38" s="100"/>
      <c r="D38" s="100"/>
      <c r="E38" s="87" t="s">
        <v>359</v>
      </c>
      <c r="F38" s="86" t="s">
        <v>360</v>
      </c>
      <c r="G38" s="86" t="n">
        <v>5</v>
      </c>
      <c r="H38" s="86" t="n">
        <v>2</v>
      </c>
      <c r="I38" s="86" t="n">
        <v>40</v>
      </c>
      <c r="J38" s="86" t="n">
        <f aca="false">I38+H38-1</f>
        <v>41</v>
      </c>
      <c r="K38" s="86" t="n">
        <v>0</v>
      </c>
      <c r="L38" s="86" t="n">
        <v>1</v>
      </c>
      <c r="M38" s="86" t="n">
        <v>0</v>
      </c>
      <c r="N38" s="86" t="n">
        <v>2</v>
      </c>
      <c r="O38" s="86" t="n">
        <v>0</v>
      </c>
      <c r="P38" s="86" t="s">
        <v>121</v>
      </c>
      <c r="Q38" s="87" t="s">
        <v>361</v>
      </c>
    </row>
    <row r="39" customFormat="false" ht="72.35" hidden="true" customHeight="false" outlineLevel="0" collapsed="false">
      <c r="A39" s="98"/>
      <c r="B39" s="99"/>
      <c r="C39" s="100"/>
      <c r="D39" s="100"/>
      <c r="E39" s="87" t="s">
        <v>362</v>
      </c>
      <c r="F39" s="86" t="s">
        <v>360</v>
      </c>
      <c r="G39" s="86" t="n">
        <v>5</v>
      </c>
      <c r="H39" s="86" t="n">
        <v>2</v>
      </c>
      <c r="I39" s="86" t="n">
        <v>42</v>
      </c>
      <c r="J39" s="86" t="n">
        <f aca="false">I39+H39-1</f>
        <v>43</v>
      </c>
      <c r="K39" s="86" t="n">
        <v>0</v>
      </c>
      <c r="L39" s="86" t="n">
        <v>1</v>
      </c>
      <c r="M39" s="86" t="n">
        <v>0</v>
      </c>
      <c r="N39" s="86" t="n">
        <v>2</v>
      </c>
      <c r="O39" s="86" t="n">
        <v>0</v>
      </c>
      <c r="P39" s="86" t="s">
        <v>121</v>
      </c>
      <c r="Q39" s="87" t="s">
        <v>363</v>
      </c>
    </row>
    <row r="40" customFormat="false" ht="32.5" hidden="false" customHeight="true" outlineLevel="0" collapsed="false">
      <c r="A40" s="98"/>
      <c r="B40" s="99"/>
      <c r="C40" s="100"/>
      <c r="D40" s="100"/>
      <c r="E40" s="87" t="s">
        <v>364</v>
      </c>
      <c r="F40" s="86" t="s">
        <v>121</v>
      </c>
      <c r="G40" s="86" t="n">
        <v>5</v>
      </c>
      <c r="H40" s="86" t="n">
        <v>4</v>
      </c>
      <c r="I40" s="86" t="n">
        <v>44</v>
      </c>
      <c r="J40" s="86" t="n">
        <f aca="false">I40+H40-1</f>
        <v>47</v>
      </c>
      <c r="K40" s="86" t="n">
        <v>0</v>
      </c>
      <c r="L40" s="86" t="n">
        <v>0</v>
      </c>
      <c r="M40" s="86" t="n">
        <v>0</v>
      </c>
      <c r="N40" s="86" t="n">
        <v>0</v>
      </c>
      <c r="O40" s="53" t="s">
        <v>310</v>
      </c>
      <c r="P40" s="86" t="s">
        <v>121</v>
      </c>
      <c r="Q40" s="87" t="s">
        <v>311</v>
      </c>
    </row>
    <row r="41" customFormat="false" ht="86.55" hidden="false" customHeight="false" outlineLevel="0" collapsed="false">
      <c r="A41" s="98"/>
      <c r="B41" s="99"/>
      <c r="C41" s="100"/>
      <c r="D41" s="100"/>
      <c r="E41" s="69" t="s">
        <v>365</v>
      </c>
      <c r="F41" s="68" t="s">
        <v>307</v>
      </c>
      <c r="G41" s="103" t="n">
        <v>6</v>
      </c>
      <c r="H41" s="103" t="n">
        <v>4</v>
      </c>
      <c r="I41" s="103" t="n">
        <v>48</v>
      </c>
      <c r="J41" s="103" t="n">
        <f aca="false">I41+H41-1</f>
        <v>51</v>
      </c>
      <c r="K41" s="103" t="n">
        <v>0</v>
      </c>
      <c r="L41" s="103" t="n">
        <v>1</v>
      </c>
      <c r="M41" s="103" t="n">
        <v>0</v>
      </c>
      <c r="N41" s="103" t="n">
        <v>3</v>
      </c>
      <c r="O41" s="68" t="n">
        <v>0</v>
      </c>
      <c r="P41" s="103" t="s">
        <v>121</v>
      </c>
      <c r="Q41" s="69" t="s">
        <v>366</v>
      </c>
    </row>
    <row r="42" customFormat="false" ht="32.5" hidden="false" customHeight="true" outlineLevel="0" collapsed="false">
      <c r="A42" s="98"/>
      <c r="B42" s="99"/>
      <c r="C42" s="100"/>
      <c r="D42" s="100"/>
      <c r="E42" s="87" t="s">
        <v>367</v>
      </c>
      <c r="F42" s="86" t="s">
        <v>121</v>
      </c>
      <c r="G42" s="86" t="n">
        <v>6</v>
      </c>
      <c r="H42" s="86" t="n">
        <v>4</v>
      </c>
      <c r="I42" s="86" t="n">
        <v>52</v>
      </c>
      <c r="J42" s="86" t="n">
        <f aca="false">I42+H42-1</f>
        <v>55</v>
      </c>
      <c r="K42" s="86" t="n">
        <v>0</v>
      </c>
      <c r="L42" s="86" t="n">
        <v>0</v>
      </c>
      <c r="M42" s="86" t="n">
        <v>0</v>
      </c>
      <c r="N42" s="86" t="n">
        <v>0</v>
      </c>
      <c r="O42" s="53" t="s">
        <v>122</v>
      </c>
      <c r="P42" s="86" t="s">
        <v>121</v>
      </c>
      <c r="Q42" s="87" t="s">
        <v>311</v>
      </c>
    </row>
    <row r="43" customFormat="false" ht="32.5" hidden="false" customHeight="true" outlineLevel="0" collapsed="false">
      <c r="A43" s="98"/>
      <c r="B43" s="99"/>
      <c r="C43" s="100"/>
      <c r="D43" s="100"/>
      <c r="E43" s="87" t="s">
        <v>368</v>
      </c>
      <c r="F43" s="86" t="s">
        <v>121</v>
      </c>
      <c r="G43" s="86" t="n">
        <v>7</v>
      </c>
      <c r="H43" s="86" t="n">
        <v>4</v>
      </c>
      <c r="I43" s="86" t="n">
        <v>56</v>
      </c>
      <c r="J43" s="86" t="n">
        <f aca="false">I43+H43-1</f>
        <v>59</v>
      </c>
      <c r="K43" s="86" t="n">
        <v>0</v>
      </c>
      <c r="L43" s="86" t="n">
        <v>0</v>
      </c>
      <c r="M43" s="86" t="n">
        <v>0</v>
      </c>
      <c r="N43" s="86" t="n">
        <v>0</v>
      </c>
      <c r="O43" s="53" t="s">
        <v>310</v>
      </c>
      <c r="P43" s="86" t="s">
        <v>121</v>
      </c>
      <c r="Q43" s="87" t="s">
        <v>311</v>
      </c>
    </row>
    <row r="44" customFormat="false" ht="58.2" hidden="false" customHeight="false" outlineLevel="0" collapsed="false">
      <c r="A44" s="98"/>
      <c r="B44" s="99"/>
      <c r="C44" s="100"/>
      <c r="D44" s="100"/>
      <c r="E44" s="87" t="s">
        <v>316</v>
      </c>
      <c r="F44" s="86" t="s">
        <v>307</v>
      </c>
      <c r="G44" s="86" t="n">
        <v>7</v>
      </c>
      <c r="H44" s="86" t="n">
        <v>4</v>
      </c>
      <c r="I44" s="86" t="n">
        <v>60</v>
      </c>
      <c r="J44" s="86" t="n">
        <f aca="false">I44+H44-1</f>
        <v>63</v>
      </c>
      <c r="K44" s="86" t="n">
        <v>0</v>
      </c>
      <c r="L44" s="86" t="n">
        <v>1</v>
      </c>
      <c r="M44" s="86" t="n">
        <v>0</v>
      </c>
      <c r="N44" s="86" t="n">
        <v>10</v>
      </c>
      <c r="O44" s="86" t="n">
        <v>0</v>
      </c>
      <c r="P44" s="86" t="s">
        <v>121</v>
      </c>
      <c r="Q44" s="87" t="s">
        <v>317</v>
      </c>
    </row>
    <row r="45" customFormat="false" ht="35.15" hidden="false" customHeight="true" outlineLevel="0" collapsed="false">
      <c r="A45" s="104" t="n">
        <f aca="false">A32+1</f>
        <v>6</v>
      </c>
      <c r="B45" s="105" t="s">
        <v>248</v>
      </c>
      <c r="C45" s="83" t="s">
        <v>121</v>
      </c>
      <c r="D45" s="83" t="s">
        <v>121</v>
      </c>
      <c r="E45" s="84" t="s">
        <v>121</v>
      </c>
      <c r="F45" s="83" t="s">
        <v>121</v>
      </c>
      <c r="G45" s="83" t="s">
        <v>121</v>
      </c>
      <c r="H45" s="83" t="n">
        <f aca="false">SUM(H46:H51)</f>
        <v>64</v>
      </c>
      <c r="I45" s="83" t="s">
        <v>121</v>
      </c>
      <c r="J45" s="83" t="s">
        <v>121</v>
      </c>
      <c r="K45" s="83" t="s">
        <v>121</v>
      </c>
      <c r="L45" s="83" t="s">
        <v>121</v>
      </c>
      <c r="M45" s="83" t="s">
        <v>121</v>
      </c>
      <c r="N45" s="83" t="s">
        <v>121</v>
      </c>
      <c r="O45" s="83" t="s">
        <v>121</v>
      </c>
      <c r="P45" s="83" t="s">
        <v>121</v>
      </c>
      <c r="Q45" s="84"/>
    </row>
    <row r="46" customFormat="false" ht="35.5" hidden="false" customHeight="true" outlineLevel="0" collapsed="false">
      <c r="A46" s="106"/>
      <c r="B46" s="107" t="s">
        <v>369</v>
      </c>
      <c r="C46" s="108" t="s">
        <v>65</v>
      </c>
      <c r="D46" s="108" t="s">
        <v>228</v>
      </c>
      <c r="E46" s="87" t="s">
        <v>370</v>
      </c>
      <c r="F46" s="86" t="s">
        <v>345</v>
      </c>
      <c r="G46" s="86" t="s">
        <v>346</v>
      </c>
      <c r="H46" s="86" t="n">
        <v>16</v>
      </c>
      <c r="I46" s="86" t="n">
        <v>0</v>
      </c>
      <c r="J46" s="86" t="n">
        <f aca="false">I46+H46-1</f>
        <v>15</v>
      </c>
      <c r="K46" s="86" t="n">
        <v>0</v>
      </c>
      <c r="L46" s="86" t="n">
        <v>0.01</v>
      </c>
      <c r="M46" s="86" t="n">
        <v>0</v>
      </c>
      <c r="N46" s="86" t="n">
        <v>100</v>
      </c>
      <c r="O46" s="86" t="n">
        <v>0</v>
      </c>
      <c r="P46" s="86" t="s">
        <v>371</v>
      </c>
      <c r="Q46" s="87" t="s">
        <v>372</v>
      </c>
    </row>
    <row r="47" customFormat="false" ht="35.5" hidden="false" customHeight="true" outlineLevel="0" collapsed="false">
      <c r="A47" s="106"/>
      <c r="B47" s="107"/>
      <c r="C47" s="108"/>
      <c r="D47" s="108"/>
      <c r="E47" s="87" t="s">
        <v>373</v>
      </c>
      <c r="F47" s="86" t="s">
        <v>345</v>
      </c>
      <c r="G47" s="86" t="s">
        <v>374</v>
      </c>
      <c r="H47" s="86" t="n">
        <v>16</v>
      </c>
      <c r="I47" s="86" t="n">
        <v>16</v>
      </c>
      <c r="J47" s="86" t="n">
        <f aca="false">I47+H47-1</f>
        <v>31</v>
      </c>
      <c r="K47" s="86" t="n">
        <v>0</v>
      </c>
      <c r="L47" s="86" t="n">
        <v>0.01</v>
      </c>
      <c r="M47" s="86" t="n">
        <v>0</v>
      </c>
      <c r="N47" s="86" t="n">
        <v>50</v>
      </c>
      <c r="O47" s="86" t="n">
        <v>0</v>
      </c>
      <c r="P47" s="86" t="s">
        <v>375</v>
      </c>
      <c r="Q47" s="87" t="s">
        <v>376</v>
      </c>
    </row>
    <row r="48" customFormat="false" ht="35.5" hidden="false" customHeight="true" outlineLevel="0" collapsed="false">
      <c r="A48" s="106"/>
      <c r="B48" s="107"/>
      <c r="C48" s="108"/>
      <c r="D48" s="108"/>
      <c r="E48" s="87" t="s">
        <v>377</v>
      </c>
      <c r="F48" s="86" t="s">
        <v>345</v>
      </c>
      <c r="G48" s="86" t="s">
        <v>378</v>
      </c>
      <c r="H48" s="86" t="n">
        <v>16</v>
      </c>
      <c r="I48" s="86" t="n">
        <v>32</v>
      </c>
      <c r="J48" s="86" t="n">
        <f aca="false">I48+H48-1</f>
        <v>47</v>
      </c>
      <c r="K48" s="86" t="n">
        <v>0</v>
      </c>
      <c r="L48" s="86" t="n">
        <v>0.1</v>
      </c>
      <c r="M48" s="86" t="n">
        <v>0</v>
      </c>
      <c r="N48" s="86" t="n">
        <v>100</v>
      </c>
      <c r="O48" s="86" t="n">
        <v>0</v>
      </c>
      <c r="P48" s="86" t="s">
        <v>379</v>
      </c>
      <c r="Q48" s="87" t="s">
        <v>380</v>
      </c>
    </row>
    <row r="49" customFormat="false" ht="88" hidden="false" customHeight="true" outlineLevel="0" collapsed="false">
      <c r="A49" s="106"/>
      <c r="B49" s="107"/>
      <c r="C49" s="108"/>
      <c r="D49" s="108"/>
      <c r="E49" s="87" t="s">
        <v>381</v>
      </c>
      <c r="F49" s="86" t="s">
        <v>360</v>
      </c>
      <c r="G49" s="86" t="n">
        <v>6</v>
      </c>
      <c r="H49" s="86" t="n">
        <v>2</v>
      </c>
      <c r="I49" s="86" t="n">
        <v>48</v>
      </c>
      <c r="J49" s="86" t="n">
        <f aca="false">I49+H49-1</f>
        <v>49</v>
      </c>
      <c r="K49" s="86" t="n">
        <v>0</v>
      </c>
      <c r="L49" s="86" t="n">
        <v>1</v>
      </c>
      <c r="M49" s="86" t="n">
        <v>0</v>
      </c>
      <c r="N49" s="86" t="n">
        <v>1</v>
      </c>
      <c r="O49" s="86" t="n">
        <v>0</v>
      </c>
      <c r="P49" s="86" t="s">
        <v>121</v>
      </c>
      <c r="Q49" s="87" t="s">
        <v>382</v>
      </c>
    </row>
    <row r="50" customFormat="false" ht="35.15" hidden="false" customHeight="true" outlineLevel="0" collapsed="false">
      <c r="A50" s="106"/>
      <c r="B50" s="107"/>
      <c r="C50" s="108"/>
      <c r="D50" s="108"/>
      <c r="E50" s="87" t="s">
        <v>383</v>
      </c>
      <c r="F50" s="86" t="s">
        <v>121</v>
      </c>
      <c r="G50" s="86" t="n">
        <v>6</v>
      </c>
      <c r="H50" s="86" t="n">
        <v>6</v>
      </c>
      <c r="I50" s="86" t="n">
        <v>50</v>
      </c>
      <c r="J50" s="86" t="n">
        <f aca="false">I50+H50-1</f>
        <v>55</v>
      </c>
      <c r="K50" s="86" t="n">
        <v>0</v>
      </c>
      <c r="L50" s="86" t="n">
        <v>0</v>
      </c>
      <c r="M50" s="86" t="n">
        <v>0</v>
      </c>
      <c r="N50" s="86" t="n">
        <v>0</v>
      </c>
      <c r="O50" s="53" t="s">
        <v>384</v>
      </c>
      <c r="P50" s="86" t="s">
        <v>121</v>
      </c>
      <c r="Q50" s="87" t="s">
        <v>311</v>
      </c>
    </row>
    <row r="51" customFormat="false" ht="36" hidden="false" customHeight="true" outlineLevel="0" collapsed="false">
      <c r="A51" s="106"/>
      <c r="B51" s="107"/>
      <c r="C51" s="108"/>
      <c r="D51" s="108"/>
      <c r="E51" s="109" t="s">
        <v>385</v>
      </c>
      <c r="F51" s="110" t="s">
        <v>121</v>
      </c>
      <c r="G51" s="110" t="n">
        <v>7</v>
      </c>
      <c r="H51" s="110" t="n">
        <v>8</v>
      </c>
      <c r="I51" s="110" t="n">
        <v>56</v>
      </c>
      <c r="J51" s="110" t="n">
        <f aca="false">I51+H51-1</f>
        <v>63</v>
      </c>
      <c r="K51" s="110" t="n">
        <v>0</v>
      </c>
      <c r="L51" s="110" t="n">
        <v>0</v>
      </c>
      <c r="M51" s="110" t="n">
        <v>0</v>
      </c>
      <c r="N51" s="110" t="n">
        <v>0</v>
      </c>
      <c r="O51" s="111" t="s">
        <v>122</v>
      </c>
      <c r="P51" s="110" t="s">
        <v>121</v>
      </c>
      <c r="Q51" s="109" t="s">
        <v>311</v>
      </c>
    </row>
    <row r="52" customFormat="false" ht="35.15" hidden="false" customHeight="true" outlineLevel="0" collapsed="false">
      <c r="A52" s="94" t="n">
        <f aca="false">A45+1</f>
        <v>7</v>
      </c>
      <c r="B52" s="95" t="s">
        <v>251</v>
      </c>
      <c r="C52" s="96" t="s">
        <v>121</v>
      </c>
      <c r="D52" s="96" t="s">
        <v>121</v>
      </c>
      <c r="E52" s="97" t="s">
        <v>121</v>
      </c>
      <c r="F52" s="96" t="s">
        <v>121</v>
      </c>
      <c r="G52" s="96" t="s">
        <v>121</v>
      </c>
      <c r="H52" s="96" t="n">
        <f aca="false">SUM(H53:H58)</f>
        <v>64</v>
      </c>
      <c r="I52" s="96" t="s">
        <v>121</v>
      </c>
      <c r="J52" s="96" t="s">
        <v>121</v>
      </c>
      <c r="K52" s="96" t="s">
        <v>121</v>
      </c>
      <c r="L52" s="96" t="s">
        <v>121</v>
      </c>
      <c r="M52" s="96" t="s">
        <v>121</v>
      </c>
      <c r="N52" s="96" t="s">
        <v>121</v>
      </c>
      <c r="O52" s="96" t="s">
        <v>121</v>
      </c>
      <c r="P52" s="96" t="s">
        <v>121</v>
      </c>
      <c r="Q52" s="97"/>
    </row>
    <row r="53" customFormat="false" ht="45" hidden="false" customHeight="true" outlineLevel="0" collapsed="false">
      <c r="A53" s="98"/>
      <c r="B53" s="112" t="s">
        <v>386</v>
      </c>
      <c r="C53" s="100" t="s">
        <v>65</v>
      </c>
      <c r="D53" s="100" t="s">
        <v>228</v>
      </c>
      <c r="E53" s="101" t="s">
        <v>387</v>
      </c>
      <c r="F53" s="102" t="s">
        <v>345</v>
      </c>
      <c r="G53" s="102" t="s">
        <v>346</v>
      </c>
      <c r="H53" s="102" t="n">
        <v>16</v>
      </c>
      <c r="I53" s="102" t="n">
        <v>0</v>
      </c>
      <c r="J53" s="102" t="n">
        <f aca="false">I53+H53-1</f>
        <v>15</v>
      </c>
      <c r="K53" s="102" t="n">
        <v>0</v>
      </c>
      <c r="L53" s="102" t="n">
        <v>1</v>
      </c>
      <c r="M53" s="102" t="n">
        <v>0</v>
      </c>
      <c r="N53" s="102" t="n">
        <v>2000</v>
      </c>
      <c r="O53" s="102" t="n">
        <v>0</v>
      </c>
      <c r="P53" s="102" t="s">
        <v>388</v>
      </c>
      <c r="Q53" s="101" t="s">
        <v>389</v>
      </c>
    </row>
    <row r="54" customFormat="false" ht="45" hidden="false" customHeight="true" outlineLevel="0" collapsed="false">
      <c r="A54" s="98"/>
      <c r="B54" s="112"/>
      <c r="C54" s="100"/>
      <c r="D54" s="100"/>
      <c r="E54" s="87" t="s">
        <v>390</v>
      </c>
      <c r="F54" s="86" t="s">
        <v>345</v>
      </c>
      <c r="G54" s="86" t="s">
        <v>374</v>
      </c>
      <c r="H54" s="86" t="n">
        <v>16</v>
      </c>
      <c r="I54" s="86" t="n">
        <v>16</v>
      </c>
      <c r="J54" s="86" t="n">
        <f aca="false">I54+H54-1</f>
        <v>31</v>
      </c>
      <c r="K54" s="86" t="n">
        <v>0</v>
      </c>
      <c r="L54" s="86" t="n">
        <v>1</v>
      </c>
      <c r="M54" s="86" t="n">
        <v>0</v>
      </c>
      <c r="N54" s="86" t="n">
        <v>2000</v>
      </c>
      <c r="O54" s="86" t="n">
        <v>0</v>
      </c>
      <c r="P54" s="86" t="s">
        <v>388</v>
      </c>
      <c r="Q54" s="87" t="s">
        <v>391</v>
      </c>
    </row>
    <row r="55" customFormat="false" ht="45" hidden="false" customHeight="true" outlineLevel="0" collapsed="false">
      <c r="A55" s="98"/>
      <c r="B55" s="112"/>
      <c r="C55" s="100"/>
      <c r="D55" s="100"/>
      <c r="E55" s="87" t="s">
        <v>392</v>
      </c>
      <c r="F55" s="86" t="s">
        <v>320</v>
      </c>
      <c r="G55" s="86" t="n">
        <v>4</v>
      </c>
      <c r="H55" s="86" t="n">
        <v>8</v>
      </c>
      <c r="I55" s="86" t="n">
        <v>32</v>
      </c>
      <c r="J55" s="86" t="n">
        <f aca="false">I55+H55-1</f>
        <v>39</v>
      </c>
      <c r="K55" s="86" t="n">
        <v>0</v>
      </c>
      <c r="L55" s="86" t="n">
        <v>1</v>
      </c>
      <c r="M55" s="86" t="n">
        <v>0</v>
      </c>
      <c r="N55" s="86" t="n">
        <v>100</v>
      </c>
      <c r="O55" s="86" t="n">
        <v>0</v>
      </c>
      <c r="P55" s="86" t="s">
        <v>379</v>
      </c>
      <c r="Q55" s="87" t="s">
        <v>393</v>
      </c>
    </row>
    <row r="56" customFormat="false" ht="45" hidden="false" customHeight="true" outlineLevel="0" collapsed="false">
      <c r="A56" s="98"/>
      <c r="B56" s="112"/>
      <c r="C56" s="100"/>
      <c r="D56" s="100"/>
      <c r="E56" s="87" t="s">
        <v>394</v>
      </c>
      <c r="F56" s="86" t="s">
        <v>320</v>
      </c>
      <c r="G56" s="86" t="n">
        <v>5</v>
      </c>
      <c r="H56" s="86" t="n">
        <v>8</v>
      </c>
      <c r="I56" s="86" t="n">
        <v>40</v>
      </c>
      <c r="J56" s="86" t="n">
        <f aca="false">I56+H56-1</f>
        <v>47</v>
      </c>
      <c r="K56" s="86" t="n">
        <v>0</v>
      </c>
      <c r="L56" s="86" t="n">
        <v>1</v>
      </c>
      <c r="M56" s="86" t="n">
        <v>0</v>
      </c>
      <c r="N56" s="86" t="n">
        <v>100</v>
      </c>
      <c r="O56" s="86" t="n">
        <v>0</v>
      </c>
      <c r="P56" s="86" t="s">
        <v>379</v>
      </c>
      <c r="Q56" s="87" t="s">
        <v>395</v>
      </c>
    </row>
    <row r="57" customFormat="false" ht="52.5" hidden="false" customHeight="true" outlineLevel="0" collapsed="false">
      <c r="A57" s="98"/>
      <c r="B57" s="112"/>
      <c r="C57" s="100"/>
      <c r="D57" s="100"/>
      <c r="E57" s="54" t="s">
        <v>396</v>
      </c>
      <c r="F57" s="86" t="s">
        <v>320</v>
      </c>
      <c r="G57" s="86" t="n">
        <v>6</v>
      </c>
      <c r="H57" s="86" t="n">
        <v>8</v>
      </c>
      <c r="I57" s="86" t="n">
        <v>48</v>
      </c>
      <c r="J57" s="86" t="n">
        <f aca="false">I57+H57-1</f>
        <v>55</v>
      </c>
      <c r="K57" s="86" t="n">
        <v>0</v>
      </c>
      <c r="L57" s="86" t="n">
        <v>1</v>
      </c>
      <c r="M57" s="86" t="n">
        <v>0</v>
      </c>
      <c r="N57" s="86" t="n">
        <v>254</v>
      </c>
      <c r="O57" s="86" t="n">
        <v>0</v>
      </c>
      <c r="P57" s="86" t="s">
        <v>397</v>
      </c>
      <c r="Q57" s="54" t="s">
        <v>398</v>
      </c>
    </row>
    <row r="58" customFormat="false" ht="52.5" hidden="false" customHeight="true" outlineLevel="0" collapsed="false">
      <c r="A58" s="98"/>
      <c r="B58" s="112"/>
      <c r="C58" s="100"/>
      <c r="D58" s="100"/>
      <c r="E58" s="69" t="s">
        <v>399</v>
      </c>
      <c r="F58" s="103" t="s">
        <v>320</v>
      </c>
      <c r="G58" s="103" t="n">
        <v>7</v>
      </c>
      <c r="H58" s="103" t="n">
        <v>8</v>
      </c>
      <c r="I58" s="103" t="n">
        <v>56</v>
      </c>
      <c r="J58" s="103" t="n">
        <f aca="false">I58+H58-1</f>
        <v>63</v>
      </c>
      <c r="K58" s="103" t="n">
        <v>0</v>
      </c>
      <c r="L58" s="103" t="n">
        <v>1</v>
      </c>
      <c r="M58" s="103" t="n">
        <v>0</v>
      </c>
      <c r="N58" s="103" t="n">
        <v>254</v>
      </c>
      <c r="O58" s="103" t="n">
        <v>0</v>
      </c>
      <c r="P58" s="103" t="s">
        <v>397</v>
      </c>
      <c r="Q58" s="69" t="s">
        <v>400</v>
      </c>
    </row>
    <row r="59" customFormat="false" ht="35.15" hidden="false" customHeight="true" outlineLevel="0" collapsed="false">
      <c r="A59" s="104" t="n">
        <f aca="false">A52+1</f>
        <v>8</v>
      </c>
      <c r="B59" s="105" t="s">
        <v>254</v>
      </c>
      <c r="C59" s="83" t="s">
        <v>121</v>
      </c>
      <c r="D59" s="83" t="s">
        <v>121</v>
      </c>
      <c r="E59" s="84" t="s">
        <v>121</v>
      </c>
      <c r="F59" s="83" t="s">
        <v>121</v>
      </c>
      <c r="G59" s="83" t="s">
        <v>121</v>
      </c>
      <c r="H59" s="83" t="n">
        <f aca="false">SUM(H60:H61)</f>
        <v>64</v>
      </c>
      <c r="I59" s="83" t="s">
        <v>121</v>
      </c>
      <c r="J59" s="83" t="s">
        <v>121</v>
      </c>
      <c r="K59" s="83" t="s">
        <v>121</v>
      </c>
      <c r="L59" s="83" t="s">
        <v>121</v>
      </c>
      <c r="M59" s="83" t="s">
        <v>121</v>
      </c>
      <c r="N59" s="83" t="s">
        <v>121</v>
      </c>
      <c r="O59" s="83" t="s">
        <v>121</v>
      </c>
      <c r="P59" s="83" t="s">
        <v>121</v>
      </c>
      <c r="Q59" s="84"/>
    </row>
    <row r="60" customFormat="false" ht="39.5" hidden="false" customHeight="true" outlineLevel="0" collapsed="false">
      <c r="A60" s="77"/>
      <c r="B60" s="89" t="s">
        <v>401</v>
      </c>
      <c r="C60" s="86" t="s">
        <v>65</v>
      </c>
      <c r="D60" s="86" t="s">
        <v>228</v>
      </c>
      <c r="E60" s="87" t="s">
        <v>402</v>
      </c>
      <c r="F60" s="86" t="s">
        <v>403</v>
      </c>
      <c r="G60" s="86" t="s">
        <v>404</v>
      </c>
      <c r="H60" s="86" t="n">
        <v>32</v>
      </c>
      <c r="I60" s="86" t="n">
        <v>0</v>
      </c>
      <c r="J60" s="86" t="n">
        <f aca="false">I60+H60-1</f>
        <v>31</v>
      </c>
      <c r="K60" s="86" t="n">
        <v>0</v>
      </c>
      <c r="L60" s="86" t="n">
        <v>0.1</v>
      </c>
      <c r="M60" s="86" t="n">
        <v>0</v>
      </c>
      <c r="N60" s="86" t="n">
        <v>420000000</v>
      </c>
      <c r="O60" s="86" t="n">
        <v>0</v>
      </c>
      <c r="P60" s="86" t="s">
        <v>405</v>
      </c>
      <c r="Q60" s="87" t="s">
        <v>406</v>
      </c>
    </row>
    <row r="61" customFormat="false" ht="39.5" hidden="false" customHeight="true" outlineLevel="0" collapsed="false">
      <c r="A61" s="77"/>
      <c r="B61" s="89"/>
      <c r="C61" s="89"/>
      <c r="D61" s="89"/>
      <c r="E61" s="87" t="s">
        <v>407</v>
      </c>
      <c r="F61" s="86" t="s">
        <v>403</v>
      </c>
      <c r="G61" s="86" t="s">
        <v>408</v>
      </c>
      <c r="H61" s="86" t="n">
        <v>32</v>
      </c>
      <c r="I61" s="86" t="n">
        <v>32</v>
      </c>
      <c r="J61" s="86" t="n">
        <f aca="false">I61+H61-1</f>
        <v>63</v>
      </c>
      <c r="K61" s="86" t="n">
        <v>0</v>
      </c>
      <c r="L61" s="86" t="n">
        <v>0.1</v>
      </c>
      <c r="M61" s="86" t="n">
        <v>0</v>
      </c>
      <c r="N61" s="86" t="n">
        <v>420000000</v>
      </c>
      <c r="O61" s="86" t="n">
        <v>0</v>
      </c>
      <c r="P61" s="86" t="s">
        <v>405</v>
      </c>
      <c r="Q61" s="87" t="s">
        <v>409</v>
      </c>
    </row>
    <row r="62" customFormat="false" ht="35.15" hidden="false" customHeight="true" outlineLevel="0" collapsed="false">
      <c r="A62" s="83" t="n">
        <f aca="false">A59+1</f>
        <v>9</v>
      </c>
      <c r="B62" s="84" t="s">
        <v>257</v>
      </c>
      <c r="C62" s="83" t="s">
        <v>121</v>
      </c>
      <c r="D62" s="83" t="s">
        <v>121</v>
      </c>
      <c r="E62" s="84" t="s">
        <v>121</v>
      </c>
      <c r="F62" s="83" t="s">
        <v>121</v>
      </c>
      <c r="G62" s="83" t="s">
        <v>121</v>
      </c>
      <c r="H62" s="83" t="n">
        <f aca="false">SUM(H63:H65)</f>
        <v>64</v>
      </c>
      <c r="I62" s="83" t="s">
        <v>121</v>
      </c>
      <c r="J62" s="83" t="s">
        <v>121</v>
      </c>
      <c r="K62" s="83" t="s">
        <v>121</v>
      </c>
      <c r="L62" s="83" t="s">
        <v>121</v>
      </c>
      <c r="M62" s="83" t="s">
        <v>121</v>
      </c>
      <c r="N62" s="83" t="s">
        <v>121</v>
      </c>
      <c r="O62" s="83" t="s">
        <v>121</v>
      </c>
      <c r="P62" s="83" t="s">
        <v>121</v>
      </c>
      <c r="Q62" s="84"/>
    </row>
    <row r="63" customFormat="false" ht="34.5" hidden="false" customHeight="true" outlineLevel="0" collapsed="false">
      <c r="A63" s="77"/>
      <c r="B63" s="85" t="s">
        <v>410</v>
      </c>
      <c r="C63" s="86" t="s">
        <v>65</v>
      </c>
      <c r="D63" s="86" t="s">
        <v>228</v>
      </c>
      <c r="E63" s="87" t="s">
        <v>411</v>
      </c>
      <c r="F63" s="86" t="s">
        <v>345</v>
      </c>
      <c r="G63" s="86" t="s">
        <v>346</v>
      </c>
      <c r="H63" s="86" t="n">
        <v>16</v>
      </c>
      <c r="I63" s="86" t="n">
        <v>0</v>
      </c>
      <c r="J63" s="86" t="n">
        <f aca="false">I63+H63-1</f>
        <v>15</v>
      </c>
      <c r="K63" s="86" t="n">
        <v>0</v>
      </c>
      <c r="L63" s="86" t="n">
        <v>0.1</v>
      </c>
      <c r="M63" s="86" t="n">
        <v>0</v>
      </c>
      <c r="N63" s="86" t="n">
        <v>100</v>
      </c>
      <c r="O63" s="86" t="n">
        <v>0</v>
      </c>
      <c r="P63" s="86" t="s">
        <v>347</v>
      </c>
      <c r="Q63" s="87" t="s">
        <v>412</v>
      </c>
    </row>
    <row r="64" customFormat="false" ht="34.5" hidden="false" customHeight="true" outlineLevel="0" collapsed="false">
      <c r="A64" s="77"/>
      <c r="B64" s="85"/>
      <c r="C64" s="86"/>
      <c r="D64" s="86"/>
      <c r="E64" s="87" t="s">
        <v>413</v>
      </c>
      <c r="F64" s="86" t="s">
        <v>345</v>
      </c>
      <c r="G64" s="86" t="s">
        <v>374</v>
      </c>
      <c r="H64" s="86" t="n">
        <v>16</v>
      </c>
      <c r="I64" s="86" t="n">
        <v>16</v>
      </c>
      <c r="J64" s="86" t="n">
        <f aca="false">I64+H64-1</f>
        <v>31</v>
      </c>
      <c r="K64" s="86" t="n">
        <v>0</v>
      </c>
      <c r="L64" s="86" t="n">
        <v>0.1</v>
      </c>
      <c r="M64" s="86" t="n">
        <v>0</v>
      </c>
      <c r="N64" s="86" t="n">
        <v>100</v>
      </c>
      <c r="O64" s="86" t="n">
        <v>0</v>
      </c>
      <c r="P64" s="86" t="s">
        <v>347</v>
      </c>
      <c r="Q64" s="87" t="s">
        <v>414</v>
      </c>
    </row>
    <row r="65" customFormat="false" ht="34.5" hidden="false" customHeight="true" outlineLevel="0" collapsed="false">
      <c r="A65" s="77"/>
      <c r="B65" s="85"/>
      <c r="C65" s="86"/>
      <c r="D65" s="86"/>
      <c r="E65" s="87" t="s">
        <v>415</v>
      </c>
      <c r="F65" s="86" t="s">
        <v>403</v>
      </c>
      <c r="G65" s="86" t="s">
        <v>408</v>
      </c>
      <c r="H65" s="86" t="n">
        <v>32</v>
      </c>
      <c r="I65" s="86" t="n">
        <v>32</v>
      </c>
      <c r="J65" s="86" t="n">
        <f aca="false">I65+H65-1</f>
        <v>63</v>
      </c>
      <c r="K65" s="86" t="n">
        <v>0</v>
      </c>
      <c r="L65" s="86" t="n">
        <v>1</v>
      </c>
      <c r="M65" s="86" t="n">
        <v>0</v>
      </c>
      <c r="N65" s="86" t="s">
        <v>416</v>
      </c>
      <c r="O65" s="86" t="n">
        <v>1</v>
      </c>
      <c r="P65" s="86" t="s">
        <v>417</v>
      </c>
      <c r="Q65" s="87" t="s">
        <v>418</v>
      </c>
    </row>
    <row r="66" customFormat="false" ht="35.15" hidden="false" customHeight="true" outlineLevel="0" collapsed="false">
      <c r="A66" s="104" t="n">
        <f aca="false">A62+1</f>
        <v>10</v>
      </c>
      <c r="B66" s="105" t="s">
        <v>260</v>
      </c>
      <c r="C66" s="83" t="s">
        <v>121</v>
      </c>
      <c r="D66" s="83" t="s">
        <v>121</v>
      </c>
      <c r="E66" s="84" t="s">
        <v>121</v>
      </c>
      <c r="F66" s="83" t="s">
        <v>121</v>
      </c>
      <c r="G66" s="83" t="s">
        <v>121</v>
      </c>
      <c r="H66" s="83" t="n">
        <f aca="false">SUM(H67:H69)</f>
        <v>64</v>
      </c>
      <c r="I66" s="83" t="s">
        <v>121</v>
      </c>
      <c r="J66" s="83" t="s">
        <v>121</v>
      </c>
      <c r="K66" s="83" t="s">
        <v>121</v>
      </c>
      <c r="L66" s="83" t="s">
        <v>121</v>
      </c>
      <c r="M66" s="83" t="s">
        <v>121</v>
      </c>
      <c r="N66" s="83" t="s">
        <v>121</v>
      </c>
      <c r="O66" s="83" t="s">
        <v>121</v>
      </c>
      <c r="P66" s="83" t="s">
        <v>121</v>
      </c>
      <c r="Q66" s="84"/>
    </row>
    <row r="67" customFormat="false" ht="72.35" hidden="false" customHeight="true" outlineLevel="0" collapsed="false">
      <c r="A67" s="113"/>
      <c r="B67" s="114" t="s">
        <v>419</v>
      </c>
      <c r="C67" s="115" t="s">
        <v>65</v>
      </c>
      <c r="D67" s="115" t="s">
        <v>228</v>
      </c>
      <c r="E67" s="87" t="s">
        <v>420</v>
      </c>
      <c r="F67" s="86" t="s">
        <v>360</v>
      </c>
      <c r="G67" s="86" t="n">
        <v>0</v>
      </c>
      <c r="H67" s="86" t="n">
        <v>2</v>
      </c>
      <c r="I67" s="86" t="n">
        <v>0</v>
      </c>
      <c r="J67" s="86" t="n">
        <f aca="false">I67+H67-1</f>
        <v>1</v>
      </c>
      <c r="K67" s="86" t="n">
        <v>0</v>
      </c>
      <c r="L67" s="86" t="n">
        <v>1</v>
      </c>
      <c r="M67" s="86" t="n">
        <v>0</v>
      </c>
      <c r="N67" s="86" t="n">
        <v>1</v>
      </c>
      <c r="O67" s="86" t="n">
        <v>0</v>
      </c>
      <c r="P67" s="86" t="s">
        <v>121</v>
      </c>
      <c r="Q67" s="87" t="s">
        <v>421</v>
      </c>
    </row>
    <row r="68" customFormat="false" ht="47" hidden="false" customHeight="true" outlineLevel="0" collapsed="false">
      <c r="A68" s="113"/>
      <c r="B68" s="114"/>
      <c r="C68" s="115"/>
      <c r="D68" s="115"/>
      <c r="E68" s="87" t="s">
        <v>422</v>
      </c>
      <c r="F68" s="86" t="s">
        <v>121</v>
      </c>
      <c r="G68" s="86" t="n">
        <v>0</v>
      </c>
      <c r="H68" s="86" t="n">
        <v>6</v>
      </c>
      <c r="I68" s="86" t="n">
        <v>2</v>
      </c>
      <c r="J68" s="86" t="n">
        <f aca="false">I68+H68-1</f>
        <v>7</v>
      </c>
      <c r="K68" s="86" t="n">
        <v>0</v>
      </c>
      <c r="L68" s="86" t="n">
        <v>0</v>
      </c>
      <c r="M68" s="86" t="n">
        <v>0</v>
      </c>
      <c r="N68" s="86" t="n">
        <v>0</v>
      </c>
      <c r="O68" s="53" t="s">
        <v>384</v>
      </c>
      <c r="P68" s="86" t="s">
        <v>121</v>
      </c>
      <c r="Q68" s="87" t="s">
        <v>311</v>
      </c>
    </row>
    <row r="69" customFormat="false" ht="47" hidden="false" customHeight="true" outlineLevel="0" collapsed="false">
      <c r="A69" s="113"/>
      <c r="B69" s="114"/>
      <c r="C69" s="115"/>
      <c r="D69" s="115"/>
      <c r="E69" s="87" t="s">
        <v>423</v>
      </c>
      <c r="F69" s="86" t="s">
        <v>121</v>
      </c>
      <c r="G69" s="86" t="s">
        <v>424</v>
      </c>
      <c r="H69" s="86" t="n">
        <v>56</v>
      </c>
      <c r="I69" s="86" t="n">
        <v>8</v>
      </c>
      <c r="J69" s="86" t="n">
        <f aca="false">I69+H69-1</f>
        <v>63</v>
      </c>
      <c r="K69" s="86" t="n">
        <v>0</v>
      </c>
      <c r="L69" s="86" t="n">
        <v>0</v>
      </c>
      <c r="M69" s="86" t="n">
        <v>0</v>
      </c>
      <c r="N69" s="86" t="n">
        <v>0</v>
      </c>
      <c r="O69" s="53" t="s">
        <v>122</v>
      </c>
      <c r="P69" s="86" t="s">
        <v>121</v>
      </c>
      <c r="Q69" s="87" t="s">
        <v>311</v>
      </c>
    </row>
    <row r="70" customFormat="false" ht="35.15" hidden="false" customHeight="true" outlineLevel="0" collapsed="false">
      <c r="A70" s="104" t="n">
        <f aca="false">A66+1</f>
        <v>11</v>
      </c>
      <c r="B70" s="116" t="s">
        <v>425</v>
      </c>
      <c r="C70" s="83" t="s">
        <v>121</v>
      </c>
      <c r="D70" s="83" t="s">
        <v>121</v>
      </c>
      <c r="E70" s="84" t="s">
        <v>121</v>
      </c>
      <c r="F70" s="83" t="s">
        <v>121</v>
      </c>
      <c r="G70" s="83" t="s">
        <v>121</v>
      </c>
      <c r="H70" s="83" t="n">
        <f aca="false">SUM(H71:H72)</f>
        <v>64</v>
      </c>
      <c r="I70" s="83" t="s">
        <v>121</v>
      </c>
      <c r="J70" s="83" t="s">
        <v>121</v>
      </c>
      <c r="K70" s="83" t="s">
        <v>121</v>
      </c>
      <c r="L70" s="83" t="s">
        <v>121</v>
      </c>
      <c r="M70" s="83" t="s">
        <v>121</v>
      </c>
      <c r="N70" s="83" t="s">
        <v>121</v>
      </c>
      <c r="O70" s="83" t="s">
        <v>121</v>
      </c>
      <c r="P70" s="83" t="s">
        <v>121</v>
      </c>
      <c r="Q70" s="84"/>
    </row>
    <row r="71" customFormat="false" ht="39.5" hidden="false" customHeight="true" outlineLevel="0" collapsed="false">
      <c r="A71" s="117"/>
      <c r="B71" s="78" t="s">
        <v>426</v>
      </c>
      <c r="C71" s="79" t="s">
        <v>65</v>
      </c>
      <c r="D71" s="79" t="s">
        <v>228</v>
      </c>
      <c r="E71" s="81" t="s">
        <v>427</v>
      </c>
      <c r="F71" s="79" t="s">
        <v>403</v>
      </c>
      <c r="G71" s="79" t="s">
        <v>404</v>
      </c>
      <c r="H71" s="79" t="n">
        <v>32</v>
      </c>
      <c r="I71" s="79" t="n">
        <v>0</v>
      </c>
      <c r="J71" s="79" t="n">
        <f aca="false">I71+H71-1</f>
        <v>31</v>
      </c>
      <c r="K71" s="79" t="n">
        <v>0</v>
      </c>
      <c r="L71" s="79" t="n">
        <v>0.1</v>
      </c>
      <c r="M71" s="79" t="n">
        <v>0</v>
      </c>
      <c r="N71" s="82" t="s">
        <v>416</v>
      </c>
      <c r="O71" s="79" t="n">
        <v>0</v>
      </c>
      <c r="P71" s="82" t="s">
        <v>428</v>
      </c>
      <c r="Q71" s="81" t="s">
        <v>264</v>
      </c>
    </row>
    <row r="72" customFormat="false" ht="39.5" hidden="false" customHeight="true" outlineLevel="0" collapsed="false">
      <c r="A72" s="117"/>
      <c r="B72" s="78"/>
      <c r="C72" s="78"/>
      <c r="D72" s="78"/>
      <c r="E72" s="81" t="s">
        <v>429</v>
      </c>
      <c r="F72" s="79" t="s">
        <v>403</v>
      </c>
      <c r="G72" s="79" t="s">
        <v>408</v>
      </c>
      <c r="H72" s="79" t="n">
        <v>32</v>
      </c>
      <c r="I72" s="79" t="n">
        <v>32</v>
      </c>
      <c r="J72" s="79" t="n">
        <f aca="false">I72+H72-1</f>
        <v>63</v>
      </c>
      <c r="K72" s="79" t="n">
        <v>0</v>
      </c>
      <c r="L72" s="79" t="n">
        <v>0</v>
      </c>
      <c r="M72" s="79" t="n">
        <v>0</v>
      </c>
      <c r="N72" s="79" t="n">
        <v>0</v>
      </c>
      <c r="O72" s="79" t="n">
        <v>0</v>
      </c>
      <c r="P72" s="79" t="s">
        <v>121</v>
      </c>
      <c r="Q72" s="80" t="s">
        <v>311</v>
      </c>
    </row>
    <row r="73" customFormat="false" ht="35.15" hidden="false" customHeight="true" outlineLevel="0" collapsed="false">
      <c r="A73" s="104" t="n">
        <f aca="false">A70+1</f>
        <v>12</v>
      </c>
      <c r="B73" s="105" t="s">
        <v>266</v>
      </c>
      <c r="C73" s="83" t="s">
        <v>121</v>
      </c>
      <c r="D73" s="83" t="s">
        <v>121</v>
      </c>
      <c r="E73" s="84" t="s">
        <v>121</v>
      </c>
      <c r="F73" s="83" t="s">
        <v>121</v>
      </c>
      <c r="G73" s="83" t="s">
        <v>121</v>
      </c>
      <c r="H73" s="83" t="n">
        <f aca="false">SUM(H74:H77)</f>
        <v>64</v>
      </c>
      <c r="I73" s="83" t="s">
        <v>121</v>
      </c>
      <c r="J73" s="83" t="s">
        <v>121</v>
      </c>
      <c r="K73" s="83" t="s">
        <v>121</v>
      </c>
      <c r="L73" s="83" t="s">
        <v>121</v>
      </c>
      <c r="M73" s="83" t="s">
        <v>121</v>
      </c>
      <c r="N73" s="83" t="s">
        <v>121</v>
      </c>
      <c r="O73" s="83" t="s">
        <v>121</v>
      </c>
      <c r="P73" s="83" t="s">
        <v>121</v>
      </c>
      <c r="Q73" s="84"/>
    </row>
    <row r="74" customFormat="false" ht="45" hidden="false" customHeight="true" outlineLevel="0" collapsed="false">
      <c r="A74" s="77"/>
      <c r="B74" s="85" t="s">
        <v>430</v>
      </c>
      <c r="C74" s="86" t="s">
        <v>65</v>
      </c>
      <c r="D74" s="86" t="s">
        <v>228</v>
      </c>
      <c r="E74" s="118" t="s">
        <v>431</v>
      </c>
      <c r="F74" s="86" t="s">
        <v>345</v>
      </c>
      <c r="G74" s="86" t="s">
        <v>346</v>
      </c>
      <c r="H74" s="86" t="n">
        <v>16</v>
      </c>
      <c r="I74" s="86" t="n">
        <v>0</v>
      </c>
      <c r="J74" s="86" t="n">
        <f aca="false">I74+H74-1</f>
        <v>15</v>
      </c>
      <c r="K74" s="86" t="n">
        <v>0</v>
      </c>
      <c r="L74" s="86" t="n">
        <v>1</v>
      </c>
      <c r="M74" s="86" t="n">
        <v>500</v>
      </c>
      <c r="N74" s="86" t="n">
        <v>3000</v>
      </c>
      <c r="O74" s="86" t="n">
        <v>2010</v>
      </c>
      <c r="P74" s="86" t="s">
        <v>432</v>
      </c>
      <c r="Q74" s="87" t="s">
        <v>433</v>
      </c>
    </row>
    <row r="75" customFormat="false" ht="45" hidden="false" customHeight="true" outlineLevel="0" collapsed="false">
      <c r="A75" s="77"/>
      <c r="B75" s="85"/>
      <c r="C75" s="86"/>
      <c r="D75" s="86"/>
      <c r="E75" s="87" t="s">
        <v>434</v>
      </c>
      <c r="F75" s="86" t="s">
        <v>345</v>
      </c>
      <c r="G75" s="86" t="s">
        <v>374</v>
      </c>
      <c r="H75" s="86" t="n">
        <v>16</v>
      </c>
      <c r="I75" s="86" t="n">
        <v>16</v>
      </c>
      <c r="J75" s="86" t="n">
        <f aca="false">I75+H75-1</f>
        <v>31</v>
      </c>
      <c r="K75" s="86" t="n">
        <v>0</v>
      </c>
      <c r="L75" s="86" t="n">
        <v>0.1</v>
      </c>
      <c r="M75" s="86" t="n">
        <v>5</v>
      </c>
      <c r="N75" s="86" t="n">
        <v>50</v>
      </c>
      <c r="O75" s="86" t="n">
        <v>25</v>
      </c>
      <c r="P75" s="86" t="s">
        <v>347</v>
      </c>
      <c r="Q75" s="87" t="s">
        <v>435</v>
      </c>
    </row>
    <row r="76" customFormat="false" ht="45" hidden="false" customHeight="true" outlineLevel="0" collapsed="false">
      <c r="A76" s="77"/>
      <c r="B76" s="85"/>
      <c r="C76" s="86"/>
      <c r="D76" s="86"/>
      <c r="E76" s="87" t="s">
        <v>436</v>
      </c>
      <c r="F76" s="86" t="s">
        <v>320</v>
      </c>
      <c r="G76" s="86" t="n">
        <v>4</v>
      </c>
      <c r="H76" s="86" t="n">
        <v>8</v>
      </c>
      <c r="I76" s="86" t="n">
        <v>32</v>
      </c>
      <c r="J76" s="86" t="n">
        <f aca="false">I76+H76-1</f>
        <v>39</v>
      </c>
      <c r="K76" s="86" t="n">
        <v>0</v>
      </c>
      <c r="L76" s="86" t="n">
        <v>0.1</v>
      </c>
      <c r="M76" s="86" t="n">
        <v>1</v>
      </c>
      <c r="N76" s="86" t="n">
        <v>6</v>
      </c>
      <c r="O76" s="86" t="n">
        <v>6</v>
      </c>
      <c r="P76" s="86" t="s">
        <v>347</v>
      </c>
      <c r="Q76" s="87" t="s">
        <v>437</v>
      </c>
    </row>
    <row r="77" customFormat="false" ht="45" hidden="false" customHeight="true" outlineLevel="0" collapsed="false">
      <c r="A77" s="77"/>
      <c r="B77" s="85"/>
      <c r="C77" s="86"/>
      <c r="D77" s="86"/>
      <c r="E77" s="87" t="s">
        <v>438</v>
      </c>
      <c r="F77" s="86" t="s">
        <v>121</v>
      </c>
      <c r="G77" s="86" t="s">
        <v>439</v>
      </c>
      <c r="H77" s="86" t="n">
        <v>24</v>
      </c>
      <c r="I77" s="86" t="n">
        <v>40</v>
      </c>
      <c r="J77" s="86" t="n">
        <f aca="false">I77+H77-1</f>
        <v>63</v>
      </c>
      <c r="K77" s="86" t="n">
        <v>0</v>
      </c>
      <c r="L77" s="86" t="n">
        <v>0</v>
      </c>
      <c r="M77" s="86" t="n">
        <v>0</v>
      </c>
      <c r="N77" s="86" t="n">
        <v>0</v>
      </c>
      <c r="O77" s="53" t="s">
        <v>122</v>
      </c>
      <c r="P77" s="86" t="s">
        <v>121</v>
      </c>
      <c r="Q77" s="87" t="s">
        <v>311</v>
      </c>
    </row>
    <row r="78" customFormat="false" ht="35.15" hidden="false" customHeight="true" outlineLevel="0" collapsed="false">
      <c r="A78" s="104" t="n">
        <f aca="false">A73+1</f>
        <v>13</v>
      </c>
      <c r="B78" s="105" t="s">
        <v>269</v>
      </c>
      <c r="C78" s="83" t="s">
        <v>121</v>
      </c>
      <c r="D78" s="83" t="s">
        <v>121</v>
      </c>
      <c r="E78" s="84" t="s">
        <v>121</v>
      </c>
      <c r="F78" s="83" t="s">
        <v>121</v>
      </c>
      <c r="G78" s="83" t="s">
        <v>121</v>
      </c>
      <c r="H78" s="83" t="n">
        <f aca="false">SUM(H79:H90)</f>
        <v>64</v>
      </c>
      <c r="I78" s="83" t="s">
        <v>121</v>
      </c>
      <c r="J78" s="83" t="s">
        <v>121</v>
      </c>
      <c r="K78" s="83" t="s">
        <v>121</v>
      </c>
      <c r="L78" s="83" t="s">
        <v>121</v>
      </c>
      <c r="M78" s="83" t="s">
        <v>121</v>
      </c>
      <c r="N78" s="83" t="s">
        <v>121</v>
      </c>
      <c r="O78" s="83" t="s">
        <v>121</v>
      </c>
      <c r="P78" s="83" t="s">
        <v>121</v>
      </c>
      <c r="Q78" s="84"/>
    </row>
    <row r="79" customFormat="false" ht="72.35" hidden="false" customHeight="true" outlineLevel="0" collapsed="false">
      <c r="A79" s="119"/>
      <c r="B79" s="120" t="s">
        <v>440</v>
      </c>
      <c r="C79" s="121" t="s">
        <v>65</v>
      </c>
      <c r="D79" s="121" t="s">
        <v>228</v>
      </c>
      <c r="E79" s="122" t="s">
        <v>441</v>
      </c>
      <c r="F79" s="86" t="s">
        <v>360</v>
      </c>
      <c r="G79" s="86" t="n">
        <v>0</v>
      </c>
      <c r="H79" s="86" t="n">
        <v>2</v>
      </c>
      <c r="I79" s="86" t="n">
        <v>0</v>
      </c>
      <c r="J79" s="86" t="n">
        <f aca="false">I79+H79-1</f>
        <v>1</v>
      </c>
      <c r="K79" s="86" t="n">
        <v>0</v>
      </c>
      <c r="L79" s="86" t="n">
        <v>1</v>
      </c>
      <c r="M79" s="86" t="n">
        <v>0</v>
      </c>
      <c r="N79" s="86" t="n">
        <v>1</v>
      </c>
      <c r="O79" s="86" t="n">
        <v>0</v>
      </c>
      <c r="P79" s="86" t="s">
        <v>121</v>
      </c>
      <c r="Q79" s="123" t="s">
        <v>442</v>
      </c>
    </row>
    <row r="80" customFormat="false" ht="72.35" hidden="false" customHeight="false" outlineLevel="0" collapsed="false">
      <c r="A80" s="119"/>
      <c r="B80" s="120"/>
      <c r="C80" s="121"/>
      <c r="D80" s="121"/>
      <c r="E80" s="122" t="s">
        <v>443</v>
      </c>
      <c r="F80" s="86" t="s">
        <v>360</v>
      </c>
      <c r="G80" s="86" t="n">
        <v>0</v>
      </c>
      <c r="H80" s="86" t="n">
        <v>2</v>
      </c>
      <c r="I80" s="86" t="n">
        <v>2</v>
      </c>
      <c r="J80" s="86" t="n">
        <f aca="false">I80+H80-1</f>
        <v>3</v>
      </c>
      <c r="K80" s="86" t="n">
        <v>0</v>
      </c>
      <c r="L80" s="86" t="n">
        <v>1</v>
      </c>
      <c r="M80" s="86" t="n">
        <v>0</v>
      </c>
      <c r="N80" s="86" t="n">
        <v>1</v>
      </c>
      <c r="O80" s="124" t="n">
        <v>0</v>
      </c>
      <c r="P80" s="124" t="s">
        <v>121</v>
      </c>
      <c r="Q80" s="125" t="s">
        <v>444</v>
      </c>
    </row>
    <row r="81" customFormat="false" ht="72.35" hidden="false" customHeight="false" outlineLevel="0" collapsed="false">
      <c r="A81" s="119"/>
      <c r="B81" s="120"/>
      <c r="C81" s="121"/>
      <c r="D81" s="121"/>
      <c r="E81" s="21" t="s">
        <v>445</v>
      </c>
      <c r="F81" s="86" t="s">
        <v>360</v>
      </c>
      <c r="G81" s="86" t="n">
        <v>0</v>
      </c>
      <c r="H81" s="86" t="n">
        <v>2</v>
      </c>
      <c r="I81" s="86" t="n">
        <v>4</v>
      </c>
      <c r="J81" s="86" t="n">
        <f aca="false">I81+H81-1</f>
        <v>5</v>
      </c>
      <c r="K81" s="86" t="n">
        <v>0</v>
      </c>
      <c r="L81" s="86" t="n">
        <v>1</v>
      </c>
      <c r="M81" s="86" t="n">
        <v>0</v>
      </c>
      <c r="N81" s="86" t="n">
        <v>1</v>
      </c>
      <c r="O81" s="124" t="n">
        <v>1</v>
      </c>
      <c r="P81" s="124" t="s">
        <v>121</v>
      </c>
      <c r="Q81" s="126" t="s">
        <v>446</v>
      </c>
    </row>
    <row r="82" customFormat="false" ht="72.35" hidden="false" customHeight="false" outlineLevel="0" collapsed="false">
      <c r="A82" s="119"/>
      <c r="B82" s="120"/>
      <c r="C82" s="121"/>
      <c r="D82" s="121"/>
      <c r="E82" s="118" t="s">
        <v>447</v>
      </c>
      <c r="F82" s="86" t="s">
        <v>360</v>
      </c>
      <c r="G82" s="127" t="n">
        <v>0</v>
      </c>
      <c r="H82" s="86" t="n">
        <v>2</v>
      </c>
      <c r="I82" s="86" t="n">
        <v>6</v>
      </c>
      <c r="J82" s="86" t="n">
        <f aca="false">I82+H82-1</f>
        <v>7</v>
      </c>
      <c r="K82" s="86" t="n">
        <v>0</v>
      </c>
      <c r="L82" s="86" t="n">
        <v>1</v>
      </c>
      <c r="M82" s="86" t="n">
        <v>0</v>
      </c>
      <c r="N82" s="86" t="n">
        <v>1</v>
      </c>
      <c r="O82" s="86" t="n">
        <v>1</v>
      </c>
      <c r="P82" s="86" t="s">
        <v>121</v>
      </c>
      <c r="Q82" s="118" t="s">
        <v>448</v>
      </c>
    </row>
    <row r="83" customFormat="false" ht="72.35" hidden="false" customHeight="false" outlineLevel="0" collapsed="false">
      <c r="A83" s="119"/>
      <c r="B83" s="120"/>
      <c r="C83" s="121"/>
      <c r="D83" s="121"/>
      <c r="E83" s="118" t="s">
        <v>449</v>
      </c>
      <c r="F83" s="86" t="s">
        <v>360</v>
      </c>
      <c r="G83" s="127" t="n">
        <v>1</v>
      </c>
      <c r="H83" s="86" t="n">
        <v>2</v>
      </c>
      <c r="I83" s="86" t="n">
        <v>8</v>
      </c>
      <c r="J83" s="86" t="n">
        <f aca="false">I83+H83-1</f>
        <v>9</v>
      </c>
      <c r="K83" s="86" t="n">
        <v>0</v>
      </c>
      <c r="L83" s="86" t="n">
        <v>1</v>
      </c>
      <c r="M83" s="86" t="n">
        <v>0</v>
      </c>
      <c r="N83" s="86" t="n">
        <v>1</v>
      </c>
      <c r="O83" s="86" t="n">
        <v>0</v>
      </c>
      <c r="P83" s="86" t="s">
        <v>121</v>
      </c>
      <c r="Q83" s="118" t="s">
        <v>450</v>
      </c>
    </row>
    <row r="84" customFormat="false" ht="72.35" hidden="false" customHeight="false" outlineLevel="0" collapsed="false">
      <c r="A84" s="119"/>
      <c r="B84" s="120"/>
      <c r="C84" s="121"/>
      <c r="D84" s="121"/>
      <c r="E84" s="118" t="s">
        <v>451</v>
      </c>
      <c r="F84" s="86" t="s">
        <v>360</v>
      </c>
      <c r="G84" s="127" t="n">
        <v>1</v>
      </c>
      <c r="H84" s="86" t="n">
        <v>2</v>
      </c>
      <c r="I84" s="86" t="n">
        <v>10</v>
      </c>
      <c r="J84" s="86" t="n">
        <f aca="false">I84+H84-1</f>
        <v>11</v>
      </c>
      <c r="K84" s="86" t="n">
        <v>0</v>
      </c>
      <c r="L84" s="86" t="n">
        <v>1</v>
      </c>
      <c r="M84" s="86" t="n">
        <v>0</v>
      </c>
      <c r="N84" s="86" t="n">
        <v>1</v>
      </c>
      <c r="O84" s="86" t="n">
        <v>0</v>
      </c>
      <c r="P84" s="86" t="s">
        <v>121</v>
      </c>
      <c r="Q84" s="101" t="s">
        <v>452</v>
      </c>
    </row>
    <row r="85" customFormat="false" ht="34" hidden="false" customHeight="true" outlineLevel="0" collapsed="false">
      <c r="A85" s="119"/>
      <c r="B85" s="120"/>
      <c r="C85" s="121"/>
      <c r="D85" s="121"/>
      <c r="E85" s="122" t="s">
        <v>453</v>
      </c>
      <c r="F85" s="86" t="s">
        <v>121</v>
      </c>
      <c r="G85" s="127" t="n">
        <v>1</v>
      </c>
      <c r="H85" s="86" t="n">
        <v>4</v>
      </c>
      <c r="I85" s="86" t="n">
        <v>12</v>
      </c>
      <c r="J85" s="86" t="n">
        <f aca="false">I85+H85-1</f>
        <v>15</v>
      </c>
      <c r="K85" s="86" t="n">
        <v>0</v>
      </c>
      <c r="L85" s="86" t="n">
        <v>1</v>
      </c>
      <c r="M85" s="86" t="n">
        <v>0</v>
      </c>
      <c r="N85" s="86" t="n">
        <v>1</v>
      </c>
      <c r="O85" s="53" t="s">
        <v>122</v>
      </c>
      <c r="P85" s="86" t="s">
        <v>121</v>
      </c>
      <c r="Q85" s="87" t="s">
        <v>311</v>
      </c>
    </row>
    <row r="86" customFormat="false" ht="58.2" hidden="false" customHeight="false" outlineLevel="0" collapsed="false">
      <c r="A86" s="119"/>
      <c r="B86" s="120"/>
      <c r="C86" s="121"/>
      <c r="D86" s="121"/>
      <c r="E86" s="128" t="s">
        <v>454</v>
      </c>
      <c r="F86" s="121" t="s">
        <v>307</v>
      </c>
      <c r="G86" s="121" t="n">
        <v>2</v>
      </c>
      <c r="H86" s="121" t="n">
        <v>4</v>
      </c>
      <c r="I86" s="121" t="n">
        <v>16</v>
      </c>
      <c r="J86" s="121" t="n">
        <f aca="false">I86+H86-1</f>
        <v>19</v>
      </c>
      <c r="K86" s="121" t="n">
        <v>0</v>
      </c>
      <c r="L86" s="86" t="n">
        <v>1</v>
      </c>
      <c r="M86" s="86" t="n">
        <v>0</v>
      </c>
      <c r="N86" s="86" t="n">
        <v>5</v>
      </c>
      <c r="O86" s="86" t="n">
        <v>3</v>
      </c>
      <c r="P86" s="86" t="s">
        <v>121</v>
      </c>
      <c r="Q86" s="125" t="s">
        <v>455</v>
      </c>
    </row>
    <row r="87" customFormat="false" ht="35.5" hidden="false" customHeight="true" outlineLevel="0" collapsed="false">
      <c r="A87" s="119"/>
      <c r="B87" s="120"/>
      <c r="C87" s="121"/>
      <c r="D87" s="121"/>
      <c r="E87" s="122" t="s">
        <v>456</v>
      </c>
      <c r="F87" s="86" t="s">
        <v>121</v>
      </c>
      <c r="G87" s="86" t="n">
        <v>2</v>
      </c>
      <c r="H87" s="86" t="n">
        <v>4</v>
      </c>
      <c r="I87" s="86" t="n">
        <v>20</v>
      </c>
      <c r="J87" s="86" t="n">
        <f aca="false">I87+H87-1</f>
        <v>23</v>
      </c>
      <c r="K87" s="86" t="n">
        <v>0</v>
      </c>
      <c r="L87" s="86" t="n">
        <v>0</v>
      </c>
      <c r="M87" s="127" t="n">
        <v>0</v>
      </c>
      <c r="N87" s="86" t="n">
        <v>0</v>
      </c>
      <c r="O87" s="53" t="s">
        <v>310</v>
      </c>
      <c r="P87" s="86" t="s">
        <v>121</v>
      </c>
      <c r="Q87" s="87" t="s">
        <v>311</v>
      </c>
    </row>
    <row r="88" customFormat="false" ht="35.5" hidden="false" customHeight="true" outlineLevel="0" collapsed="false">
      <c r="A88" s="119"/>
      <c r="B88" s="120"/>
      <c r="C88" s="121"/>
      <c r="D88" s="121"/>
      <c r="E88" s="122" t="s">
        <v>457</v>
      </c>
      <c r="F88" s="86" t="s">
        <v>121</v>
      </c>
      <c r="G88" s="86" t="n">
        <v>3</v>
      </c>
      <c r="H88" s="86" t="n">
        <v>8</v>
      </c>
      <c r="I88" s="86" t="n">
        <v>24</v>
      </c>
      <c r="J88" s="86" t="n">
        <f aca="false">I88+H88-1</f>
        <v>31</v>
      </c>
      <c r="K88" s="86" t="n">
        <v>0</v>
      </c>
      <c r="L88" s="86" t="n">
        <v>0</v>
      </c>
      <c r="M88" s="127" t="n">
        <v>0</v>
      </c>
      <c r="N88" s="86" t="n">
        <v>0</v>
      </c>
      <c r="O88" s="53" t="s">
        <v>122</v>
      </c>
      <c r="P88" s="86" t="s">
        <v>121</v>
      </c>
      <c r="Q88" s="87" t="s">
        <v>311</v>
      </c>
    </row>
    <row r="89" customFormat="false" ht="35.5" hidden="false" customHeight="true" outlineLevel="0" collapsed="false">
      <c r="A89" s="119"/>
      <c r="B89" s="120"/>
      <c r="C89" s="121"/>
      <c r="D89" s="121"/>
      <c r="E89" s="118" t="s">
        <v>458</v>
      </c>
      <c r="F89" s="86" t="s">
        <v>345</v>
      </c>
      <c r="G89" s="86" t="s">
        <v>378</v>
      </c>
      <c r="H89" s="86" t="n">
        <v>16</v>
      </c>
      <c r="I89" s="86" t="n">
        <v>32</v>
      </c>
      <c r="J89" s="86" t="n">
        <f aca="false">I89+H89-1</f>
        <v>47</v>
      </c>
      <c r="K89" s="86" t="n">
        <v>0</v>
      </c>
      <c r="L89" s="86" t="n">
        <v>1</v>
      </c>
      <c r="M89" s="86" t="n">
        <v>500</v>
      </c>
      <c r="N89" s="86" t="n">
        <v>3000</v>
      </c>
      <c r="O89" s="86" t="n">
        <v>500</v>
      </c>
      <c r="P89" s="86" t="s">
        <v>432</v>
      </c>
      <c r="Q89" s="87" t="s">
        <v>459</v>
      </c>
    </row>
    <row r="90" customFormat="false" ht="35.5" hidden="false" customHeight="true" outlineLevel="0" collapsed="false">
      <c r="A90" s="119"/>
      <c r="B90" s="120"/>
      <c r="C90" s="121"/>
      <c r="D90" s="121"/>
      <c r="E90" s="128" t="s">
        <v>460</v>
      </c>
      <c r="F90" s="121" t="s">
        <v>345</v>
      </c>
      <c r="G90" s="121" t="s">
        <v>461</v>
      </c>
      <c r="H90" s="121" t="n">
        <v>16</v>
      </c>
      <c r="I90" s="121" t="n">
        <v>48</v>
      </c>
      <c r="J90" s="121" t="n">
        <f aca="false">I90+H90-1</f>
        <v>63</v>
      </c>
      <c r="K90" s="121" t="n">
        <v>0</v>
      </c>
      <c r="L90" s="121" t="n">
        <v>1</v>
      </c>
      <c r="M90" s="121" t="n">
        <v>500</v>
      </c>
      <c r="N90" s="121" t="n">
        <v>3000</v>
      </c>
      <c r="O90" s="121" t="n">
        <v>3000</v>
      </c>
      <c r="P90" s="121" t="s">
        <v>432</v>
      </c>
      <c r="Q90" s="125" t="s">
        <v>462</v>
      </c>
    </row>
    <row r="91" customFormat="false" ht="239" hidden="false" customHeight="true" outlineLevel="0" collapsed="false">
      <c r="A91" s="129"/>
      <c r="B91" s="130"/>
      <c r="C91" s="131"/>
      <c r="D91" s="131"/>
      <c r="E91" s="132"/>
      <c r="F91" s="131"/>
      <c r="G91" s="131"/>
      <c r="H91" s="131"/>
      <c r="I91" s="131"/>
      <c r="J91" s="131"/>
      <c r="K91" s="131"/>
      <c r="L91" s="131"/>
      <c r="M91" s="131"/>
      <c r="N91" s="131"/>
      <c r="O91" s="131"/>
      <c r="P91" s="131"/>
      <c r="Q91" s="133"/>
    </row>
    <row r="92" customFormat="false" ht="35.15" hidden="false" customHeight="true" outlineLevel="0" collapsed="false">
      <c r="A92" s="72"/>
      <c r="B92" s="73" t="s">
        <v>463</v>
      </c>
      <c r="C92" s="73"/>
      <c r="D92" s="73"/>
      <c r="E92" s="73"/>
      <c r="F92" s="73"/>
      <c r="G92" s="73"/>
      <c r="H92" s="73"/>
      <c r="I92" s="73"/>
      <c r="J92" s="73"/>
      <c r="K92" s="73"/>
      <c r="L92" s="73"/>
      <c r="M92" s="73"/>
      <c r="N92" s="73"/>
      <c r="O92" s="73"/>
      <c r="P92" s="73"/>
      <c r="Q92" s="74"/>
    </row>
    <row r="93" customFormat="false" ht="35.15" hidden="false" customHeight="true" outlineLevel="0" collapsed="false">
      <c r="A93" s="104" t="n">
        <f aca="false">A78+1</f>
        <v>14</v>
      </c>
      <c r="B93" s="105" t="s">
        <v>272</v>
      </c>
      <c r="C93" s="83" t="s">
        <v>121</v>
      </c>
      <c r="D93" s="83" t="s">
        <v>121</v>
      </c>
      <c r="E93" s="76" t="s">
        <v>121</v>
      </c>
      <c r="F93" s="75" t="s">
        <v>121</v>
      </c>
      <c r="G93" s="75" t="s">
        <v>121</v>
      </c>
      <c r="H93" s="83" t="n">
        <f aca="false">SUM(H94:H106)</f>
        <v>64</v>
      </c>
      <c r="I93" s="75" t="s">
        <v>121</v>
      </c>
      <c r="J93" s="75" t="s">
        <v>121</v>
      </c>
      <c r="K93" s="75" t="s">
        <v>121</v>
      </c>
      <c r="L93" s="75" t="s">
        <v>121</v>
      </c>
      <c r="M93" s="83" t="s">
        <v>121</v>
      </c>
      <c r="N93" s="83" t="s">
        <v>121</v>
      </c>
      <c r="O93" s="83" t="s">
        <v>121</v>
      </c>
      <c r="P93" s="83" t="s">
        <v>121</v>
      </c>
      <c r="Q93" s="84"/>
    </row>
    <row r="94" customFormat="false" ht="72.35" hidden="false" customHeight="true" outlineLevel="0" collapsed="false">
      <c r="A94" s="119"/>
      <c r="B94" s="134" t="s">
        <v>464</v>
      </c>
      <c r="C94" s="121" t="s">
        <v>273</v>
      </c>
      <c r="D94" s="121" t="s">
        <v>228</v>
      </c>
      <c r="E94" s="87" t="s">
        <v>465</v>
      </c>
      <c r="F94" s="86" t="s">
        <v>307</v>
      </c>
      <c r="G94" s="86" t="n">
        <v>0</v>
      </c>
      <c r="H94" s="86" t="n">
        <v>4</v>
      </c>
      <c r="I94" s="86" t="n">
        <v>0</v>
      </c>
      <c r="J94" s="86" t="n">
        <f aca="false">I94+H94-1</f>
        <v>3</v>
      </c>
      <c r="K94" s="86" t="n">
        <v>0</v>
      </c>
      <c r="L94" s="86" t="n">
        <v>1</v>
      </c>
      <c r="M94" s="127" t="n">
        <v>0</v>
      </c>
      <c r="N94" s="86" t="n">
        <v>5</v>
      </c>
      <c r="O94" s="86" t="n">
        <v>0</v>
      </c>
      <c r="P94" s="86" t="s">
        <v>121</v>
      </c>
      <c r="Q94" s="87" t="s">
        <v>466</v>
      </c>
    </row>
    <row r="95" customFormat="false" ht="72.35" hidden="false" customHeight="false" outlineLevel="0" collapsed="false">
      <c r="A95" s="119"/>
      <c r="B95" s="134"/>
      <c r="C95" s="121"/>
      <c r="D95" s="121"/>
      <c r="E95" s="87" t="s">
        <v>467</v>
      </c>
      <c r="F95" s="86" t="s">
        <v>360</v>
      </c>
      <c r="G95" s="86" t="n">
        <v>0</v>
      </c>
      <c r="H95" s="86" t="n">
        <v>2</v>
      </c>
      <c r="I95" s="86" t="n">
        <v>4</v>
      </c>
      <c r="J95" s="86" t="n">
        <f aca="false">I95+H95-1</f>
        <v>5</v>
      </c>
      <c r="K95" s="86" t="n">
        <v>0</v>
      </c>
      <c r="L95" s="86" t="n">
        <v>1</v>
      </c>
      <c r="M95" s="127" t="n">
        <v>0</v>
      </c>
      <c r="N95" s="86" t="n">
        <v>1</v>
      </c>
      <c r="O95" s="86" t="n">
        <v>0</v>
      </c>
      <c r="P95" s="86" t="s">
        <v>121</v>
      </c>
      <c r="Q95" s="87" t="s">
        <v>468</v>
      </c>
    </row>
    <row r="96" customFormat="false" ht="72.35" hidden="false" customHeight="false" outlineLevel="0" collapsed="false">
      <c r="A96" s="119"/>
      <c r="B96" s="134"/>
      <c r="C96" s="121"/>
      <c r="D96" s="121"/>
      <c r="E96" s="54" t="s">
        <v>469</v>
      </c>
      <c r="F96" s="86" t="s">
        <v>360</v>
      </c>
      <c r="G96" s="86" t="n">
        <v>0</v>
      </c>
      <c r="H96" s="86" t="n">
        <v>2</v>
      </c>
      <c r="I96" s="86" t="n">
        <v>6</v>
      </c>
      <c r="J96" s="86" t="n">
        <f aca="false">I96+H96-1</f>
        <v>7</v>
      </c>
      <c r="K96" s="86" t="n">
        <v>0</v>
      </c>
      <c r="L96" s="86" t="n">
        <v>0</v>
      </c>
      <c r="M96" s="86" t="n">
        <v>0</v>
      </c>
      <c r="N96" s="86" t="n">
        <v>0</v>
      </c>
      <c r="O96" s="53" t="s">
        <v>470</v>
      </c>
      <c r="P96" s="86" t="s">
        <v>121</v>
      </c>
      <c r="Q96" s="54" t="s">
        <v>471</v>
      </c>
    </row>
    <row r="97" customFormat="false" ht="100.7" hidden="false" customHeight="false" outlineLevel="0" collapsed="false">
      <c r="A97" s="119"/>
      <c r="B97" s="134"/>
      <c r="C97" s="121"/>
      <c r="D97" s="121"/>
      <c r="E97" s="87" t="s">
        <v>472</v>
      </c>
      <c r="F97" s="86" t="s">
        <v>307</v>
      </c>
      <c r="G97" s="86" t="n">
        <v>1</v>
      </c>
      <c r="H97" s="86" t="n">
        <v>4</v>
      </c>
      <c r="I97" s="86" t="n">
        <v>8</v>
      </c>
      <c r="J97" s="86" t="n">
        <f aca="false">I97+H97-1</f>
        <v>11</v>
      </c>
      <c r="K97" s="86" t="n">
        <v>0</v>
      </c>
      <c r="L97" s="86" t="n">
        <v>1</v>
      </c>
      <c r="M97" s="86" t="n">
        <v>0</v>
      </c>
      <c r="N97" s="86" t="n">
        <v>3</v>
      </c>
      <c r="O97" s="86" t="n">
        <v>0</v>
      </c>
      <c r="P97" s="86" t="s">
        <v>121</v>
      </c>
      <c r="Q97" s="54" t="s">
        <v>473</v>
      </c>
    </row>
    <row r="98" customFormat="false" ht="35.15" hidden="false" customHeight="true" outlineLevel="0" collapsed="false">
      <c r="A98" s="119"/>
      <c r="B98" s="134"/>
      <c r="C98" s="121"/>
      <c r="D98" s="121"/>
      <c r="E98" s="87" t="s">
        <v>474</v>
      </c>
      <c r="F98" s="53" t="s">
        <v>307</v>
      </c>
      <c r="G98" s="86" t="n">
        <v>1</v>
      </c>
      <c r="H98" s="86" t="n">
        <v>4</v>
      </c>
      <c r="I98" s="86" t="n">
        <v>12</v>
      </c>
      <c r="J98" s="86" t="n">
        <f aca="false">I98+H98-1</f>
        <v>15</v>
      </c>
      <c r="K98" s="86" t="n">
        <v>0</v>
      </c>
      <c r="L98" s="86" t="n">
        <v>0</v>
      </c>
      <c r="M98" s="86" t="n">
        <v>0</v>
      </c>
      <c r="N98" s="86" t="n">
        <v>0</v>
      </c>
      <c r="O98" s="53" t="s">
        <v>310</v>
      </c>
      <c r="P98" s="86" t="s">
        <v>121</v>
      </c>
      <c r="Q98" s="87" t="s">
        <v>311</v>
      </c>
    </row>
    <row r="99" customFormat="false" ht="58.2" hidden="false" customHeight="false" outlineLevel="0" collapsed="false">
      <c r="A99" s="119"/>
      <c r="B99" s="134"/>
      <c r="C99" s="121"/>
      <c r="D99" s="121"/>
      <c r="E99" s="87" t="s">
        <v>475</v>
      </c>
      <c r="F99" s="86" t="s">
        <v>360</v>
      </c>
      <c r="G99" s="86" t="n">
        <v>2</v>
      </c>
      <c r="H99" s="86" t="n">
        <v>2</v>
      </c>
      <c r="I99" s="86" t="n">
        <v>16</v>
      </c>
      <c r="J99" s="86" t="n">
        <f aca="false">I99+H99-1</f>
        <v>17</v>
      </c>
      <c r="K99" s="86" t="n">
        <v>0</v>
      </c>
      <c r="L99" s="86" t="n">
        <v>1</v>
      </c>
      <c r="M99" s="86" t="n">
        <v>0</v>
      </c>
      <c r="N99" s="86" t="n">
        <v>1</v>
      </c>
      <c r="O99" s="53" t="n">
        <v>0</v>
      </c>
      <c r="P99" s="86" t="s">
        <v>121</v>
      </c>
      <c r="Q99" s="54" t="s">
        <v>476</v>
      </c>
    </row>
    <row r="100" customFormat="false" ht="58.2" hidden="false" customHeight="false" outlineLevel="0" collapsed="false">
      <c r="A100" s="119"/>
      <c r="B100" s="134"/>
      <c r="C100" s="121"/>
      <c r="D100" s="121"/>
      <c r="E100" s="81" t="s">
        <v>477</v>
      </c>
      <c r="F100" s="79" t="s">
        <v>360</v>
      </c>
      <c r="G100" s="79" t="n">
        <v>2</v>
      </c>
      <c r="H100" s="79" t="n">
        <v>2</v>
      </c>
      <c r="I100" s="79" t="n">
        <v>18</v>
      </c>
      <c r="J100" s="79" t="n">
        <f aca="false">I100+H100-1</f>
        <v>19</v>
      </c>
      <c r="K100" s="79" t="n">
        <v>0</v>
      </c>
      <c r="L100" s="79" t="n">
        <v>1</v>
      </c>
      <c r="M100" s="79" t="n">
        <v>0</v>
      </c>
      <c r="N100" s="79" t="n">
        <v>1</v>
      </c>
      <c r="O100" s="82" t="n">
        <v>0</v>
      </c>
      <c r="P100" s="79" t="s">
        <v>121</v>
      </c>
      <c r="Q100" s="81" t="s">
        <v>478</v>
      </c>
    </row>
    <row r="101" customFormat="false" ht="58.2" hidden="false" customHeight="false" outlineLevel="0" collapsed="false">
      <c r="A101" s="119"/>
      <c r="B101" s="134"/>
      <c r="C101" s="121"/>
      <c r="D101" s="121"/>
      <c r="E101" s="81" t="s">
        <v>479</v>
      </c>
      <c r="F101" s="79" t="s">
        <v>360</v>
      </c>
      <c r="G101" s="79" t="n">
        <v>2</v>
      </c>
      <c r="H101" s="79" t="n">
        <v>2</v>
      </c>
      <c r="I101" s="79" t="n">
        <v>20</v>
      </c>
      <c r="J101" s="79" t="n">
        <f aca="false">I101+H101-1</f>
        <v>21</v>
      </c>
      <c r="K101" s="79" t="n">
        <v>0</v>
      </c>
      <c r="L101" s="79" t="n">
        <v>1</v>
      </c>
      <c r="M101" s="79" t="n">
        <v>0</v>
      </c>
      <c r="N101" s="79" t="n">
        <v>1</v>
      </c>
      <c r="O101" s="82" t="n">
        <v>0</v>
      </c>
      <c r="P101" s="79" t="s">
        <v>121</v>
      </c>
      <c r="Q101" s="81" t="s">
        <v>480</v>
      </c>
    </row>
    <row r="102" customFormat="false" ht="58.2" hidden="false" customHeight="false" outlineLevel="0" collapsed="false">
      <c r="A102" s="119"/>
      <c r="B102" s="134"/>
      <c r="C102" s="121"/>
      <c r="D102" s="121"/>
      <c r="E102" s="81" t="s">
        <v>481</v>
      </c>
      <c r="F102" s="79" t="s">
        <v>360</v>
      </c>
      <c r="G102" s="79" t="n">
        <v>2</v>
      </c>
      <c r="H102" s="79" t="n">
        <v>2</v>
      </c>
      <c r="I102" s="79" t="n">
        <v>22</v>
      </c>
      <c r="J102" s="79" t="n">
        <f aca="false">I102+H102-1</f>
        <v>23</v>
      </c>
      <c r="K102" s="79" t="n">
        <v>0</v>
      </c>
      <c r="L102" s="79" t="n">
        <v>1</v>
      </c>
      <c r="M102" s="79" t="n">
        <v>0</v>
      </c>
      <c r="N102" s="79" t="n">
        <v>1</v>
      </c>
      <c r="O102" s="82" t="n">
        <v>0</v>
      </c>
      <c r="P102" s="79" t="s">
        <v>121</v>
      </c>
      <c r="Q102" s="81" t="s">
        <v>482</v>
      </c>
    </row>
    <row r="103" customFormat="false" ht="58.2" hidden="false" customHeight="false" outlineLevel="0" collapsed="false">
      <c r="A103" s="119"/>
      <c r="B103" s="134"/>
      <c r="C103" s="121"/>
      <c r="D103" s="121"/>
      <c r="E103" s="81" t="s">
        <v>483</v>
      </c>
      <c r="F103" s="82" t="s">
        <v>360</v>
      </c>
      <c r="G103" s="79" t="n">
        <v>3</v>
      </c>
      <c r="H103" s="79" t="n">
        <v>2</v>
      </c>
      <c r="I103" s="79" t="n">
        <v>24</v>
      </c>
      <c r="J103" s="79" t="n">
        <f aca="false">I103+H103-1</f>
        <v>25</v>
      </c>
      <c r="K103" s="79" t="n">
        <v>0</v>
      </c>
      <c r="L103" s="79" t="n">
        <v>1</v>
      </c>
      <c r="M103" s="79" t="n">
        <v>0</v>
      </c>
      <c r="N103" s="79" t="n">
        <v>1</v>
      </c>
      <c r="O103" s="79" t="n">
        <v>0</v>
      </c>
      <c r="P103" s="79" t="s">
        <v>121</v>
      </c>
      <c r="Q103" s="81" t="s">
        <v>484</v>
      </c>
    </row>
    <row r="104" customFormat="false" ht="35.15" hidden="false" customHeight="true" outlineLevel="0" collapsed="false">
      <c r="A104" s="119"/>
      <c r="B104" s="134"/>
      <c r="C104" s="121"/>
      <c r="D104" s="121"/>
      <c r="E104" s="54" t="s">
        <v>485</v>
      </c>
      <c r="F104" s="86" t="s">
        <v>121</v>
      </c>
      <c r="G104" s="53" t="s">
        <v>486</v>
      </c>
      <c r="H104" s="86" t="n">
        <v>30</v>
      </c>
      <c r="I104" s="86" t="n">
        <v>26</v>
      </c>
      <c r="J104" s="86" t="n">
        <f aca="false">I104+H104-1</f>
        <v>55</v>
      </c>
      <c r="K104" s="86" t="n">
        <v>0</v>
      </c>
      <c r="L104" s="86" t="n">
        <v>0</v>
      </c>
      <c r="M104" s="86" t="n">
        <v>0</v>
      </c>
      <c r="N104" s="86" t="n">
        <v>0</v>
      </c>
      <c r="O104" s="53" t="s">
        <v>122</v>
      </c>
      <c r="P104" s="86" t="s">
        <v>121</v>
      </c>
      <c r="Q104" s="87" t="s">
        <v>311</v>
      </c>
    </row>
    <row r="105" customFormat="false" ht="93.75" hidden="false" customHeight="true" outlineLevel="0" collapsed="false">
      <c r="A105" s="119"/>
      <c r="B105" s="134"/>
      <c r="C105" s="121"/>
      <c r="D105" s="121"/>
      <c r="E105" s="54" t="s">
        <v>314</v>
      </c>
      <c r="F105" s="86" t="s">
        <v>307</v>
      </c>
      <c r="G105" s="86" t="n">
        <v>7</v>
      </c>
      <c r="H105" s="86" t="n">
        <v>4</v>
      </c>
      <c r="I105" s="86" t="n">
        <v>56</v>
      </c>
      <c r="J105" s="86" t="n">
        <f aca="false">I105+H105-1</f>
        <v>59</v>
      </c>
      <c r="K105" s="86" t="n">
        <v>0</v>
      </c>
      <c r="L105" s="86" t="n">
        <v>1</v>
      </c>
      <c r="M105" s="86" t="n">
        <v>0</v>
      </c>
      <c r="N105" s="86" t="n">
        <v>10</v>
      </c>
      <c r="O105" s="86" t="n">
        <v>0</v>
      </c>
      <c r="P105" s="86" t="s">
        <v>121</v>
      </c>
      <c r="Q105" s="54" t="s">
        <v>315</v>
      </c>
    </row>
    <row r="106" customFormat="false" ht="58.2" hidden="false" customHeight="false" outlineLevel="0" collapsed="false">
      <c r="A106" s="119"/>
      <c r="B106" s="134"/>
      <c r="C106" s="121"/>
      <c r="D106" s="121"/>
      <c r="E106" s="125" t="s">
        <v>316</v>
      </c>
      <c r="F106" s="121" t="s">
        <v>307</v>
      </c>
      <c r="G106" s="121" t="n">
        <v>7</v>
      </c>
      <c r="H106" s="121" t="n">
        <v>4</v>
      </c>
      <c r="I106" s="121" t="n">
        <v>60</v>
      </c>
      <c r="J106" s="121" t="n">
        <f aca="false">I106+H106-1</f>
        <v>63</v>
      </c>
      <c r="K106" s="121" t="n">
        <v>0</v>
      </c>
      <c r="L106" s="121" t="n">
        <v>1</v>
      </c>
      <c r="M106" s="121" t="n">
        <v>0</v>
      </c>
      <c r="N106" s="121" t="n">
        <v>10</v>
      </c>
      <c r="O106" s="121" t="n">
        <v>0</v>
      </c>
      <c r="P106" s="121" t="s">
        <v>121</v>
      </c>
      <c r="Q106" s="125" t="s">
        <v>317</v>
      </c>
    </row>
    <row r="107" customFormat="false" ht="78.75" hidden="false" customHeight="true" outlineLevel="0" collapsed="false">
      <c r="A107" s="129"/>
      <c r="B107" s="130"/>
      <c r="C107" s="131"/>
      <c r="D107" s="131"/>
      <c r="E107" s="133"/>
      <c r="F107" s="131"/>
      <c r="G107" s="131"/>
      <c r="H107" s="131"/>
      <c r="I107" s="131"/>
      <c r="J107" s="131"/>
      <c r="K107" s="131"/>
      <c r="L107" s="131"/>
      <c r="M107" s="131"/>
      <c r="N107" s="131"/>
      <c r="O107" s="131"/>
      <c r="P107" s="131"/>
      <c r="Q107" s="133"/>
    </row>
    <row r="108" customFormat="false" ht="35.15" hidden="false" customHeight="true" outlineLevel="0" collapsed="false">
      <c r="A108" s="72"/>
      <c r="B108" s="73" t="s">
        <v>78</v>
      </c>
      <c r="C108" s="73"/>
      <c r="D108" s="73"/>
      <c r="E108" s="73"/>
      <c r="F108" s="73"/>
      <c r="G108" s="73"/>
      <c r="H108" s="73"/>
      <c r="I108" s="73"/>
      <c r="J108" s="73"/>
      <c r="K108" s="73"/>
      <c r="L108" s="73"/>
      <c r="M108" s="73"/>
      <c r="N108" s="73"/>
      <c r="O108" s="73"/>
      <c r="P108" s="73"/>
      <c r="Q108" s="74"/>
    </row>
    <row r="109" customFormat="false" ht="35.15" hidden="false" customHeight="true" outlineLevel="0" collapsed="false">
      <c r="A109" s="104" t="n">
        <f aca="false">A93+1</f>
        <v>15</v>
      </c>
      <c r="B109" s="105" t="s">
        <v>276</v>
      </c>
      <c r="C109" s="83" t="s">
        <v>121</v>
      </c>
      <c r="D109" s="83" t="s">
        <v>121</v>
      </c>
      <c r="E109" s="76" t="s">
        <v>121</v>
      </c>
      <c r="F109" s="75" t="s">
        <v>121</v>
      </c>
      <c r="G109" s="75" t="s">
        <v>121</v>
      </c>
      <c r="H109" s="83" t="n">
        <f aca="false">SUM(H110:H116)</f>
        <v>64</v>
      </c>
      <c r="I109" s="75" t="s">
        <v>121</v>
      </c>
      <c r="J109" s="75" t="s">
        <v>121</v>
      </c>
      <c r="K109" s="75" t="s">
        <v>121</v>
      </c>
      <c r="L109" s="75" t="s">
        <v>121</v>
      </c>
      <c r="M109" s="83" t="s">
        <v>121</v>
      </c>
      <c r="N109" s="83" t="s">
        <v>121</v>
      </c>
      <c r="O109" s="83" t="s">
        <v>121</v>
      </c>
      <c r="P109" s="83" t="s">
        <v>121</v>
      </c>
      <c r="Q109" s="84"/>
    </row>
    <row r="110" customFormat="false" ht="129.1" hidden="false" customHeight="true" outlineLevel="0" collapsed="false">
      <c r="A110" s="113"/>
      <c r="B110" s="135" t="s">
        <v>487</v>
      </c>
      <c r="C110" s="115" t="s">
        <v>78</v>
      </c>
      <c r="D110" s="115" t="s">
        <v>228</v>
      </c>
      <c r="E110" s="87" t="s">
        <v>488</v>
      </c>
      <c r="F110" s="86" t="s">
        <v>307</v>
      </c>
      <c r="G110" s="86" t="n">
        <v>0</v>
      </c>
      <c r="H110" s="86" t="n">
        <v>4</v>
      </c>
      <c r="I110" s="86" t="n">
        <v>0</v>
      </c>
      <c r="J110" s="86" t="n">
        <f aca="false">I110+H110-1</f>
        <v>3</v>
      </c>
      <c r="K110" s="86" t="n">
        <v>0</v>
      </c>
      <c r="L110" s="86" t="n">
        <v>1</v>
      </c>
      <c r="M110" s="86" t="n">
        <v>0</v>
      </c>
      <c r="N110" s="86" t="n">
        <v>4</v>
      </c>
      <c r="O110" s="86" t="n">
        <v>0</v>
      </c>
      <c r="P110" s="86" t="s">
        <v>121</v>
      </c>
      <c r="Q110" s="81" t="s">
        <v>489</v>
      </c>
    </row>
    <row r="111" customFormat="false" ht="37" hidden="false" customHeight="true" outlineLevel="0" collapsed="false">
      <c r="A111" s="113"/>
      <c r="B111" s="135"/>
      <c r="C111" s="115"/>
      <c r="D111" s="115"/>
      <c r="E111" s="87" t="s">
        <v>309</v>
      </c>
      <c r="F111" s="86" t="s">
        <v>121</v>
      </c>
      <c r="G111" s="86" t="n">
        <v>0</v>
      </c>
      <c r="H111" s="86" t="n">
        <v>4</v>
      </c>
      <c r="I111" s="86" t="n">
        <v>4</v>
      </c>
      <c r="J111" s="86" t="n">
        <f aca="false">I111+H111-1</f>
        <v>7</v>
      </c>
      <c r="K111" s="86" t="n">
        <v>0</v>
      </c>
      <c r="L111" s="86" t="n">
        <v>0</v>
      </c>
      <c r="M111" s="86" t="n">
        <v>0</v>
      </c>
      <c r="N111" s="86" t="n">
        <v>0</v>
      </c>
      <c r="O111" s="53" t="s">
        <v>310</v>
      </c>
      <c r="P111" s="86" t="s">
        <v>121</v>
      </c>
      <c r="Q111" s="87" t="s">
        <v>311</v>
      </c>
    </row>
    <row r="112" customFormat="false" ht="72.35" hidden="false" customHeight="false" outlineLevel="0" collapsed="false">
      <c r="A112" s="113"/>
      <c r="B112" s="135"/>
      <c r="C112" s="115"/>
      <c r="D112" s="115"/>
      <c r="E112" s="81" t="s">
        <v>490</v>
      </c>
      <c r="F112" s="79" t="s">
        <v>307</v>
      </c>
      <c r="G112" s="79" t="n">
        <v>1</v>
      </c>
      <c r="H112" s="79" t="n">
        <v>4</v>
      </c>
      <c r="I112" s="79" t="n">
        <v>8</v>
      </c>
      <c r="J112" s="79" t="n">
        <f aca="false">I112+H112-1</f>
        <v>11</v>
      </c>
      <c r="K112" s="79" t="n">
        <v>0</v>
      </c>
      <c r="L112" s="79" t="n">
        <v>1</v>
      </c>
      <c r="M112" s="79" t="n">
        <v>0</v>
      </c>
      <c r="N112" s="79" t="n">
        <v>3</v>
      </c>
      <c r="O112" s="79" t="n">
        <v>2</v>
      </c>
      <c r="P112" s="79" t="s">
        <v>121</v>
      </c>
      <c r="Q112" s="81" t="s">
        <v>491</v>
      </c>
    </row>
    <row r="113" customFormat="false" ht="72.35" hidden="false" customHeight="false" outlineLevel="0" collapsed="false">
      <c r="A113" s="113"/>
      <c r="B113" s="135"/>
      <c r="C113" s="115"/>
      <c r="D113" s="115"/>
      <c r="E113" s="81" t="s">
        <v>492</v>
      </c>
      <c r="F113" s="79" t="s">
        <v>307</v>
      </c>
      <c r="G113" s="79" t="n">
        <v>1</v>
      </c>
      <c r="H113" s="79" t="n">
        <v>4</v>
      </c>
      <c r="I113" s="79" t="n">
        <v>12</v>
      </c>
      <c r="J113" s="79" t="n">
        <f aca="false">I113+H113-1</f>
        <v>15</v>
      </c>
      <c r="K113" s="79" t="n">
        <v>0</v>
      </c>
      <c r="L113" s="79" t="n">
        <v>1</v>
      </c>
      <c r="M113" s="79" t="n">
        <v>0</v>
      </c>
      <c r="N113" s="79" t="n">
        <v>3</v>
      </c>
      <c r="O113" s="79" t="n">
        <v>2</v>
      </c>
      <c r="P113" s="79" t="s">
        <v>121</v>
      </c>
      <c r="Q113" s="81" t="s">
        <v>493</v>
      </c>
    </row>
    <row r="114" customFormat="false" ht="37" hidden="false" customHeight="true" outlineLevel="0" collapsed="false">
      <c r="A114" s="113"/>
      <c r="B114" s="135"/>
      <c r="C114" s="115"/>
      <c r="D114" s="115"/>
      <c r="E114" s="87" t="s">
        <v>377</v>
      </c>
      <c r="F114" s="86" t="s">
        <v>345</v>
      </c>
      <c r="G114" s="86" t="s">
        <v>374</v>
      </c>
      <c r="H114" s="86" t="n">
        <v>16</v>
      </c>
      <c r="I114" s="86" t="n">
        <v>16</v>
      </c>
      <c r="J114" s="86" t="n">
        <f aca="false">I114+H114-1</f>
        <v>31</v>
      </c>
      <c r="K114" s="86" t="n">
        <v>0</v>
      </c>
      <c r="L114" s="86" t="n">
        <v>0.1</v>
      </c>
      <c r="M114" s="86" t="n">
        <v>0</v>
      </c>
      <c r="N114" s="86" t="n">
        <v>100</v>
      </c>
      <c r="O114" s="86" t="n">
        <v>0</v>
      </c>
      <c r="P114" s="86" t="s">
        <v>379</v>
      </c>
      <c r="Q114" s="87" t="s">
        <v>494</v>
      </c>
    </row>
    <row r="115" customFormat="false" ht="37" hidden="false" customHeight="true" outlineLevel="0" collapsed="false">
      <c r="A115" s="113"/>
      <c r="B115" s="135"/>
      <c r="C115" s="115"/>
      <c r="D115" s="115"/>
      <c r="E115" s="87" t="s">
        <v>495</v>
      </c>
      <c r="F115" s="86" t="s">
        <v>345</v>
      </c>
      <c r="G115" s="86" t="s">
        <v>378</v>
      </c>
      <c r="H115" s="86" t="n">
        <v>16</v>
      </c>
      <c r="I115" s="86" t="n">
        <v>32</v>
      </c>
      <c r="J115" s="86" t="n">
        <f aca="false">I115+H115-1</f>
        <v>47</v>
      </c>
      <c r="K115" s="86" t="n">
        <v>0</v>
      </c>
      <c r="L115" s="86" t="n">
        <v>1</v>
      </c>
      <c r="M115" s="86" t="n">
        <v>0</v>
      </c>
      <c r="N115" s="86" t="n">
        <v>60000</v>
      </c>
      <c r="O115" s="86" t="n">
        <v>0</v>
      </c>
      <c r="P115" s="86" t="s">
        <v>496</v>
      </c>
      <c r="Q115" s="87" t="s">
        <v>497</v>
      </c>
    </row>
    <row r="116" customFormat="false" ht="37" hidden="false" customHeight="true" outlineLevel="0" collapsed="false">
      <c r="A116" s="113"/>
      <c r="B116" s="135"/>
      <c r="C116" s="115"/>
      <c r="D116" s="115"/>
      <c r="E116" s="87" t="s">
        <v>498</v>
      </c>
      <c r="F116" s="86" t="s">
        <v>121</v>
      </c>
      <c r="G116" s="86" t="s">
        <v>461</v>
      </c>
      <c r="H116" s="86" t="n">
        <v>16</v>
      </c>
      <c r="I116" s="86" t="n">
        <v>48</v>
      </c>
      <c r="J116" s="86" t="n">
        <f aca="false">I116+H116-1</f>
        <v>63</v>
      </c>
      <c r="K116" s="86" t="n">
        <v>0</v>
      </c>
      <c r="L116" s="86" t="n">
        <v>0</v>
      </c>
      <c r="M116" s="86" t="n">
        <v>0</v>
      </c>
      <c r="N116" s="86" t="n">
        <v>0</v>
      </c>
      <c r="O116" s="53" t="s">
        <v>122</v>
      </c>
      <c r="P116" s="86" t="s">
        <v>121</v>
      </c>
      <c r="Q116" s="87" t="s">
        <v>311</v>
      </c>
    </row>
    <row r="117" customFormat="false" ht="35.15" hidden="false" customHeight="true" outlineLevel="0" collapsed="false">
      <c r="A117" s="104" t="n">
        <f aca="false">A109+1</f>
        <v>16</v>
      </c>
      <c r="B117" s="105" t="s">
        <v>279</v>
      </c>
      <c r="C117" s="83" t="s">
        <v>121</v>
      </c>
      <c r="D117" s="83" t="s">
        <v>121</v>
      </c>
      <c r="E117" s="76" t="s">
        <v>121</v>
      </c>
      <c r="F117" s="75" t="s">
        <v>121</v>
      </c>
      <c r="G117" s="75" t="s">
        <v>121</v>
      </c>
      <c r="H117" s="83" t="n">
        <f aca="false">SUM(H118:H120)</f>
        <v>64</v>
      </c>
      <c r="I117" s="75" t="s">
        <v>121</v>
      </c>
      <c r="J117" s="75" t="s">
        <v>121</v>
      </c>
      <c r="K117" s="75" t="s">
        <v>121</v>
      </c>
      <c r="L117" s="75" t="s">
        <v>121</v>
      </c>
      <c r="M117" s="83" t="s">
        <v>121</v>
      </c>
      <c r="N117" s="83" t="s">
        <v>121</v>
      </c>
      <c r="O117" s="83" t="s">
        <v>121</v>
      </c>
      <c r="P117" s="83" t="s">
        <v>121</v>
      </c>
      <c r="Q117" s="84"/>
    </row>
    <row r="118" customFormat="false" ht="40" hidden="false" customHeight="true" outlineLevel="0" collapsed="false">
      <c r="A118" s="113"/>
      <c r="B118" s="135" t="s">
        <v>499</v>
      </c>
      <c r="C118" s="115" t="s">
        <v>78</v>
      </c>
      <c r="D118" s="115" t="s">
        <v>228</v>
      </c>
      <c r="E118" s="87" t="s">
        <v>370</v>
      </c>
      <c r="F118" s="86" t="s">
        <v>345</v>
      </c>
      <c r="G118" s="86" t="s">
        <v>346</v>
      </c>
      <c r="H118" s="86" t="n">
        <v>16</v>
      </c>
      <c r="I118" s="86" t="n">
        <v>0</v>
      </c>
      <c r="J118" s="86" t="n">
        <f aca="false">I118+H118-1</f>
        <v>15</v>
      </c>
      <c r="K118" s="86" t="n">
        <v>0</v>
      </c>
      <c r="L118" s="86" t="n">
        <v>0.01</v>
      </c>
      <c r="M118" s="86" t="n">
        <v>0</v>
      </c>
      <c r="N118" s="86" t="n">
        <v>100</v>
      </c>
      <c r="O118" s="86" t="n">
        <v>0</v>
      </c>
      <c r="P118" s="86" t="s">
        <v>371</v>
      </c>
      <c r="Q118" s="87" t="s">
        <v>500</v>
      </c>
    </row>
    <row r="119" customFormat="false" ht="52.5" hidden="false" customHeight="true" outlineLevel="0" collapsed="false">
      <c r="A119" s="113"/>
      <c r="B119" s="135"/>
      <c r="C119" s="115"/>
      <c r="D119" s="115"/>
      <c r="E119" s="87" t="s">
        <v>373</v>
      </c>
      <c r="F119" s="86" t="s">
        <v>501</v>
      </c>
      <c r="G119" s="86" t="s">
        <v>374</v>
      </c>
      <c r="H119" s="86" t="n">
        <v>16</v>
      </c>
      <c r="I119" s="86" t="n">
        <v>16</v>
      </c>
      <c r="J119" s="86" t="n">
        <f aca="false">I119+H119-1</f>
        <v>31</v>
      </c>
      <c r="K119" s="86" t="n">
        <v>0</v>
      </c>
      <c r="L119" s="86" t="n">
        <v>0.01</v>
      </c>
      <c r="M119" s="86" t="n">
        <v>-50</v>
      </c>
      <c r="N119" s="86" t="n">
        <v>50</v>
      </c>
      <c r="O119" s="86" t="n">
        <v>0</v>
      </c>
      <c r="P119" s="86" t="s">
        <v>375</v>
      </c>
      <c r="Q119" s="81" t="s">
        <v>502</v>
      </c>
    </row>
    <row r="120" customFormat="false" ht="35.15" hidden="false" customHeight="true" outlineLevel="0" collapsed="false">
      <c r="A120" s="113"/>
      <c r="B120" s="135"/>
      <c r="C120" s="115"/>
      <c r="D120" s="115"/>
      <c r="E120" s="87" t="s">
        <v>429</v>
      </c>
      <c r="F120" s="86" t="s">
        <v>121</v>
      </c>
      <c r="G120" s="86" t="s">
        <v>408</v>
      </c>
      <c r="H120" s="86" t="n">
        <v>32</v>
      </c>
      <c r="I120" s="86" t="n">
        <v>32</v>
      </c>
      <c r="J120" s="86" t="n">
        <f aca="false">I120+H120-1</f>
        <v>63</v>
      </c>
      <c r="K120" s="86" t="n">
        <v>0</v>
      </c>
      <c r="L120" s="86" t="n">
        <v>0</v>
      </c>
      <c r="M120" s="86" t="n">
        <v>0</v>
      </c>
      <c r="N120" s="86" t="n">
        <v>0</v>
      </c>
      <c r="O120" s="53" t="s">
        <v>122</v>
      </c>
      <c r="P120" s="86" t="s">
        <v>121</v>
      </c>
      <c r="Q120" s="87" t="s">
        <v>311</v>
      </c>
    </row>
    <row r="121" customFormat="false" ht="35.15" hidden="false" customHeight="true" outlineLevel="0" collapsed="false">
      <c r="A121" s="104" t="n">
        <f aca="false">A117+1</f>
        <v>17</v>
      </c>
      <c r="B121" s="105" t="s">
        <v>281</v>
      </c>
      <c r="C121" s="83" t="s">
        <v>121</v>
      </c>
      <c r="D121" s="83" t="s">
        <v>121</v>
      </c>
      <c r="E121" s="76" t="s">
        <v>121</v>
      </c>
      <c r="F121" s="75" t="s">
        <v>121</v>
      </c>
      <c r="G121" s="75" t="s">
        <v>121</v>
      </c>
      <c r="H121" s="83" t="n">
        <f aca="false">SUM(H122:H125)</f>
        <v>64</v>
      </c>
      <c r="I121" s="75" t="s">
        <v>121</v>
      </c>
      <c r="J121" s="75" t="s">
        <v>121</v>
      </c>
      <c r="K121" s="75" t="s">
        <v>121</v>
      </c>
      <c r="L121" s="75" t="s">
        <v>121</v>
      </c>
      <c r="M121" s="83" t="s">
        <v>121</v>
      </c>
      <c r="N121" s="83" t="s">
        <v>121</v>
      </c>
      <c r="O121" s="83" t="s">
        <v>121</v>
      </c>
      <c r="P121" s="83" t="s">
        <v>121</v>
      </c>
      <c r="Q121" s="84"/>
    </row>
    <row r="122" customFormat="false" ht="33.55" hidden="false" customHeight="true" outlineLevel="0" collapsed="false">
      <c r="A122" s="113"/>
      <c r="B122" s="135" t="s">
        <v>503</v>
      </c>
      <c r="C122" s="115" t="s">
        <v>78</v>
      </c>
      <c r="D122" s="115" t="s">
        <v>228</v>
      </c>
      <c r="E122" s="80" t="s">
        <v>504</v>
      </c>
      <c r="F122" s="79" t="s">
        <v>345</v>
      </c>
      <c r="G122" s="79" t="s">
        <v>346</v>
      </c>
      <c r="H122" s="79" t="n">
        <v>16</v>
      </c>
      <c r="I122" s="79" t="n">
        <v>0</v>
      </c>
      <c r="J122" s="79" t="n">
        <f aca="false">I122+H122-1</f>
        <v>15</v>
      </c>
      <c r="K122" s="79" t="n">
        <v>0</v>
      </c>
      <c r="L122" s="79" t="n">
        <v>0.01</v>
      </c>
      <c r="M122" s="79" t="n">
        <v>0</v>
      </c>
      <c r="N122" s="79" t="n">
        <v>50</v>
      </c>
      <c r="O122" s="79" t="n">
        <v>5</v>
      </c>
      <c r="P122" s="79" t="s">
        <v>375</v>
      </c>
      <c r="Q122" s="81" t="s">
        <v>505</v>
      </c>
    </row>
    <row r="123" customFormat="false" ht="35.15" hidden="false" customHeight="true" outlineLevel="0" collapsed="false">
      <c r="A123" s="113"/>
      <c r="B123" s="135"/>
      <c r="C123" s="115"/>
      <c r="D123" s="115"/>
      <c r="E123" s="87" t="s">
        <v>506</v>
      </c>
      <c r="F123" s="86" t="s">
        <v>345</v>
      </c>
      <c r="G123" s="86" t="s">
        <v>374</v>
      </c>
      <c r="H123" s="86" t="n">
        <v>16</v>
      </c>
      <c r="I123" s="86" t="n">
        <v>16</v>
      </c>
      <c r="J123" s="86" t="n">
        <f aca="false">I123+H123-1</f>
        <v>31</v>
      </c>
      <c r="K123" s="86" t="n">
        <v>-40</v>
      </c>
      <c r="L123" s="86" t="n">
        <v>0.1</v>
      </c>
      <c r="M123" s="86" t="n">
        <v>-40</v>
      </c>
      <c r="N123" s="86" t="n">
        <v>200</v>
      </c>
      <c r="O123" s="86" t="n">
        <v>0</v>
      </c>
      <c r="P123" s="86" t="s">
        <v>507</v>
      </c>
      <c r="Q123" s="87" t="s">
        <v>508</v>
      </c>
    </row>
    <row r="124" customFormat="false" ht="35.15" hidden="false" customHeight="true" outlineLevel="0" collapsed="false">
      <c r="A124" s="113"/>
      <c r="B124" s="135"/>
      <c r="C124" s="115"/>
      <c r="D124" s="115"/>
      <c r="E124" s="87" t="s">
        <v>509</v>
      </c>
      <c r="F124" s="86" t="s">
        <v>345</v>
      </c>
      <c r="G124" s="86" t="s">
        <v>378</v>
      </c>
      <c r="H124" s="86" t="n">
        <v>16</v>
      </c>
      <c r="I124" s="86" t="n">
        <v>32</v>
      </c>
      <c r="J124" s="86" t="n">
        <f aca="false">I124+H124-1</f>
        <v>47</v>
      </c>
      <c r="K124" s="86" t="n">
        <v>-40</v>
      </c>
      <c r="L124" s="86" t="n">
        <v>0.1</v>
      </c>
      <c r="M124" s="86" t="n">
        <v>-40</v>
      </c>
      <c r="N124" s="86" t="n">
        <v>200</v>
      </c>
      <c r="O124" s="86" t="n">
        <v>0</v>
      </c>
      <c r="P124" s="86" t="s">
        <v>507</v>
      </c>
      <c r="Q124" s="87" t="s">
        <v>510</v>
      </c>
    </row>
    <row r="125" customFormat="false" ht="35.15" hidden="false" customHeight="true" outlineLevel="0" collapsed="false">
      <c r="A125" s="113"/>
      <c r="B125" s="135"/>
      <c r="C125" s="115"/>
      <c r="D125" s="115"/>
      <c r="E125" s="87" t="s">
        <v>511</v>
      </c>
      <c r="F125" s="86" t="s">
        <v>345</v>
      </c>
      <c r="G125" s="86" t="s">
        <v>461</v>
      </c>
      <c r="H125" s="86" t="n">
        <v>16</v>
      </c>
      <c r="I125" s="86" t="n">
        <v>48</v>
      </c>
      <c r="J125" s="86" t="n">
        <f aca="false">I125+H125-1</f>
        <v>63</v>
      </c>
      <c r="K125" s="86" t="n">
        <v>-40</v>
      </c>
      <c r="L125" s="86" t="n">
        <v>0.1</v>
      </c>
      <c r="M125" s="86" t="n">
        <v>-40</v>
      </c>
      <c r="N125" s="86" t="n">
        <v>200</v>
      </c>
      <c r="O125" s="86" t="n">
        <v>0</v>
      </c>
      <c r="P125" s="86" t="s">
        <v>507</v>
      </c>
      <c r="Q125" s="87" t="s">
        <v>512</v>
      </c>
    </row>
    <row r="126" customFormat="false" ht="35.15" hidden="false" customHeight="true" outlineLevel="0" collapsed="false">
      <c r="A126" s="104" t="n">
        <f aca="false">A121+1</f>
        <v>18</v>
      </c>
      <c r="B126" s="105" t="s">
        <v>284</v>
      </c>
      <c r="C126" s="83" t="s">
        <v>121</v>
      </c>
      <c r="D126" s="83" t="s">
        <v>121</v>
      </c>
      <c r="E126" s="76" t="s">
        <v>121</v>
      </c>
      <c r="F126" s="75" t="s">
        <v>121</v>
      </c>
      <c r="G126" s="75" t="s">
        <v>121</v>
      </c>
      <c r="H126" s="83" t="n">
        <f aca="false">SUM(H127:H133)</f>
        <v>64</v>
      </c>
      <c r="I126" s="75" t="s">
        <v>121</v>
      </c>
      <c r="J126" s="75" t="s">
        <v>121</v>
      </c>
      <c r="K126" s="75" t="s">
        <v>121</v>
      </c>
      <c r="L126" s="75" t="s">
        <v>121</v>
      </c>
      <c r="M126" s="83" t="s">
        <v>121</v>
      </c>
      <c r="N126" s="83" t="s">
        <v>121</v>
      </c>
      <c r="O126" s="83" t="s">
        <v>121</v>
      </c>
      <c r="P126" s="83" t="s">
        <v>121</v>
      </c>
      <c r="Q126" s="84"/>
    </row>
    <row r="127" customFormat="false" ht="35.15" hidden="false" customHeight="true" outlineLevel="0" collapsed="false">
      <c r="A127" s="106"/>
      <c r="B127" s="136" t="s">
        <v>513</v>
      </c>
      <c r="C127" s="108" t="s">
        <v>78</v>
      </c>
      <c r="D127" s="108" t="s">
        <v>228</v>
      </c>
      <c r="E127" s="87" t="s">
        <v>514</v>
      </c>
      <c r="F127" s="86" t="s">
        <v>345</v>
      </c>
      <c r="G127" s="86" t="s">
        <v>346</v>
      </c>
      <c r="H127" s="86" t="n">
        <v>16</v>
      </c>
      <c r="I127" s="86" t="n">
        <v>0</v>
      </c>
      <c r="J127" s="86" t="n">
        <f aca="false">I127+H127-1</f>
        <v>15</v>
      </c>
      <c r="K127" s="86" t="n">
        <v>0</v>
      </c>
      <c r="L127" s="86" t="n">
        <v>0.01</v>
      </c>
      <c r="M127" s="86" t="n">
        <v>0</v>
      </c>
      <c r="N127" s="86" t="n">
        <v>100</v>
      </c>
      <c r="O127" s="86" t="n">
        <v>42</v>
      </c>
      <c r="P127" s="86" t="s">
        <v>371</v>
      </c>
      <c r="Q127" s="87" t="s">
        <v>515</v>
      </c>
    </row>
    <row r="128" customFormat="false" ht="35.15" hidden="false" customHeight="true" outlineLevel="0" collapsed="false">
      <c r="A128" s="106"/>
      <c r="B128" s="136"/>
      <c r="C128" s="108"/>
      <c r="D128" s="108"/>
      <c r="E128" s="87" t="s">
        <v>516</v>
      </c>
      <c r="F128" s="86" t="s">
        <v>345</v>
      </c>
      <c r="G128" s="86" t="s">
        <v>374</v>
      </c>
      <c r="H128" s="86" t="n">
        <v>16</v>
      </c>
      <c r="I128" s="86" t="n">
        <v>16</v>
      </c>
      <c r="J128" s="86" t="n">
        <f aca="false">I128+H128-1</f>
        <v>31</v>
      </c>
      <c r="K128" s="86" t="n">
        <v>0</v>
      </c>
      <c r="L128" s="86" t="n">
        <v>0.01</v>
      </c>
      <c r="M128" s="86" t="n">
        <v>0</v>
      </c>
      <c r="N128" s="86" t="n">
        <v>50</v>
      </c>
      <c r="O128" s="86" t="n">
        <v>2</v>
      </c>
      <c r="P128" s="86" t="s">
        <v>375</v>
      </c>
      <c r="Q128" s="87" t="s">
        <v>517</v>
      </c>
    </row>
    <row r="129" customFormat="false" ht="72.35" hidden="false" customHeight="false" outlineLevel="0" collapsed="false">
      <c r="A129" s="106"/>
      <c r="B129" s="136"/>
      <c r="C129" s="108"/>
      <c r="D129" s="108"/>
      <c r="E129" s="87" t="s">
        <v>518</v>
      </c>
      <c r="F129" s="86" t="s">
        <v>320</v>
      </c>
      <c r="G129" s="86" t="s">
        <v>378</v>
      </c>
      <c r="H129" s="86" t="n">
        <v>16</v>
      </c>
      <c r="I129" s="86" t="n">
        <v>32</v>
      </c>
      <c r="J129" s="86" t="n">
        <f aca="false">I129+H129-1</f>
        <v>47</v>
      </c>
      <c r="K129" s="86" t="n">
        <v>0</v>
      </c>
      <c r="L129" s="86" t="n">
        <v>1</v>
      </c>
      <c r="M129" s="86" t="n">
        <v>0</v>
      </c>
      <c r="N129" s="86" t="n">
        <v>2000</v>
      </c>
      <c r="O129" s="86" t="n">
        <v>0</v>
      </c>
      <c r="P129" s="86" t="s">
        <v>519</v>
      </c>
      <c r="Q129" s="81" t="s">
        <v>520</v>
      </c>
    </row>
    <row r="130" customFormat="false" ht="72.35" hidden="false" customHeight="false" outlineLevel="0" collapsed="false">
      <c r="A130" s="106"/>
      <c r="B130" s="136"/>
      <c r="C130" s="108"/>
      <c r="D130" s="108"/>
      <c r="E130" s="125" t="s">
        <v>521</v>
      </c>
      <c r="F130" s="121" t="s">
        <v>360</v>
      </c>
      <c r="G130" s="121" t="n">
        <v>6</v>
      </c>
      <c r="H130" s="121" t="n">
        <v>2</v>
      </c>
      <c r="I130" s="121" t="n">
        <v>48</v>
      </c>
      <c r="J130" s="121" t="n">
        <f aca="false">I130+H130-1</f>
        <v>49</v>
      </c>
      <c r="K130" s="121" t="n">
        <v>0</v>
      </c>
      <c r="L130" s="121" t="n">
        <v>1</v>
      </c>
      <c r="M130" s="121" t="n">
        <v>0</v>
      </c>
      <c r="N130" s="121" t="n">
        <v>1</v>
      </c>
      <c r="O130" s="121" t="n">
        <v>0</v>
      </c>
      <c r="P130" s="121" t="s">
        <v>121</v>
      </c>
      <c r="Q130" s="125" t="s">
        <v>522</v>
      </c>
    </row>
    <row r="131" customFormat="false" ht="70.85" hidden="false" customHeight="true" outlineLevel="0" collapsed="false">
      <c r="A131" s="106"/>
      <c r="B131" s="136"/>
      <c r="C131" s="108"/>
      <c r="D131" s="108"/>
      <c r="E131" s="137" t="s">
        <v>523</v>
      </c>
      <c r="F131" s="138" t="s">
        <v>360</v>
      </c>
      <c r="G131" s="138" t="n">
        <v>6</v>
      </c>
      <c r="H131" s="138" t="n">
        <v>2</v>
      </c>
      <c r="I131" s="138" t="n">
        <v>50</v>
      </c>
      <c r="J131" s="138" t="n">
        <f aca="false">I131+H131-1</f>
        <v>51</v>
      </c>
      <c r="K131" s="138" t="n">
        <v>0</v>
      </c>
      <c r="L131" s="138" t="n">
        <v>1</v>
      </c>
      <c r="M131" s="138" t="n">
        <v>0</v>
      </c>
      <c r="N131" s="138" t="n">
        <v>1</v>
      </c>
      <c r="O131" s="138" t="n">
        <v>0</v>
      </c>
      <c r="P131" s="138" t="s">
        <v>121</v>
      </c>
      <c r="Q131" s="137" t="s">
        <v>524</v>
      </c>
    </row>
    <row r="132" customFormat="false" ht="35.15" hidden="false" customHeight="true" outlineLevel="0" collapsed="false">
      <c r="A132" s="106"/>
      <c r="B132" s="136"/>
      <c r="C132" s="108"/>
      <c r="D132" s="108"/>
      <c r="E132" s="54" t="s">
        <v>525</v>
      </c>
      <c r="F132" s="86" t="s">
        <v>121</v>
      </c>
      <c r="G132" s="86" t="n">
        <v>6</v>
      </c>
      <c r="H132" s="86" t="n">
        <v>4</v>
      </c>
      <c r="I132" s="86" t="n">
        <v>52</v>
      </c>
      <c r="J132" s="86" t="n">
        <f aca="false">I132+H132-1</f>
        <v>55</v>
      </c>
      <c r="K132" s="86" t="n">
        <v>0</v>
      </c>
      <c r="L132" s="86" t="n">
        <v>0</v>
      </c>
      <c r="M132" s="86" t="n">
        <v>0</v>
      </c>
      <c r="N132" s="86" t="n">
        <v>0</v>
      </c>
      <c r="O132" s="86" t="s">
        <v>310</v>
      </c>
      <c r="P132" s="86" t="s">
        <v>121</v>
      </c>
      <c r="Q132" s="87" t="s">
        <v>311</v>
      </c>
    </row>
    <row r="133" customFormat="false" ht="33" hidden="false" customHeight="true" outlineLevel="0" collapsed="false">
      <c r="A133" s="106"/>
      <c r="B133" s="136"/>
      <c r="C133" s="108"/>
      <c r="D133" s="108"/>
      <c r="E133" s="109" t="s">
        <v>385</v>
      </c>
      <c r="F133" s="110" t="s">
        <v>121</v>
      </c>
      <c r="G133" s="110" t="n">
        <v>7</v>
      </c>
      <c r="H133" s="110" t="n">
        <v>8</v>
      </c>
      <c r="I133" s="110" t="n">
        <v>56</v>
      </c>
      <c r="J133" s="110" t="n">
        <f aca="false">I133+H133-1</f>
        <v>63</v>
      </c>
      <c r="K133" s="110" t="n">
        <v>0</v>
      </c>
      <c r="L133" s="110" t="n">
        <v>0</v>
      </c>
      <c r="M133" s="110" t="n">
        <v>0</v>
      </c>
      <c r="N133" s="110" t="n">
        <v>0</v>
      </c>
      <c r="O133" s="111" t="s">
        <v>122</v>
      </c>
      <c r="P133" s="110" t="s">
        <v>121</v>
      </c>
      <c r="Q133" s="109" t="s">
        <v>311</v>
      </c>
    </row>
    <row r="134" customFormat="false" ht="35.15" hidden="false" customHeight="true" outlineLevel="0" collapsed="false">
      <c r="A134" s="139" t="n">
        <f aca="false">A126+1</f>
        <v>19</v>
      </c>
      <c r="B134" s="140" t="s">
        <v>287</v>
      </c>
      <c r="C134" s="141" t="s">
        <v>121</v>
      </c>
      <c r="D134" s="141" t="s">
        <v>121</v>
      </c>
      <c r="E134" s="142" t="s">
        <v>121</v>
      </c>
      <c r="F134" s="141" t="s">
        <v>121</v>
      </c>
      <c r="G134" s="141" t="s">
        <v>121</v>
      </c>
      <c r="H134" s="141" t="n">
        <f aca="false">SUM(H135:H139)</f>
        <v>64</v>
      </c>
      <c r="I134" s="141" t="s">
        <v>121</v>
      </c>
      <c r="J134" s="141" t="s">
        <v>121</v>
      </c>
      <c r="K134" s="141" t="s">
        <v>121</v>
      </c>
      <c r="L134" s="141" t="s">
        <v>121</v>
      </c>
      <c r="M134" s="141" t="s">
        <v>121</v>
      </c>
      <c r="N134" s="141" t="s">
        <v>121</v>
      </c>
      <c r="O134" s="141" t="s">
        <v>121</v>
      </c>
      <c r="P134" s="141" t="s">
        <v>121</v>
      </c>
      <c r="Q134" s="142"/>
    </row>
    <row r="135" customFormat="false" ht="35.15" hidden="false" customHeight="true" outlineLevel="0" collapsed="false">
      <c r="A135" s="113"/>
      <c r="B135" s="114" t="s">
        <v>526</v>
      </c>
      <c r="C135" s="115" t="s">
        <v>78</v>
      </c>
      <c r="D135" s="115" t="s">
        <v>228</v>
      </c>
      <c r="E135" s="87" t="s">
        <v>527</v>
      </c>
      <c r="F135" s="86" t="s">
        <v>345</v>
      </c>
      <c r="G135" s="86" t="s">
        <v>346</v>
      </c>
      <c r="H135" s="86" t="n">
        <v>16</v>
      </c>
      <c r="I135" s="86" t="n">
        <v>0</v>
      </c>
      <c r="J135" s="86" t="n">
        <f aca="false">I135+H135-1</f>
        <v>15</v>
      </c>
      <c r="K135" s="86" t="n">
        <v>0</v>
      </c>
      <c r="L135" s="86" t="n">
        <v>1</v>
      </c>
      <c r="M135" s="86" t="n">
        <v>0</v>
      </c>
      <c r="N135" s="86" t="n">
        <v>60000</v>
      </c>
      <c r="O135" s="86" t="n">
        <v>0</v>
      </c>
      <c r="P135" s="86" t="s">
        <v>496</v>
      </c>
      <c r="Q135" s="87" t="s">
        <v>528</v>
      </c>
    </row>
    <row r="136" customFormat="false" ht="72.35" hidden="false" customHeight="false" outlineLevel="0" collapsed="false">
      <c r="A136" s="113"/>
      <c r="B136" s="114"/>
      <c r="C136" s="115"/>
      <c r="D136" s="115"/>
      <c r="E136" s="87" t="s">
        <v>529</v>
      </c>
      <c r="F136" s="86" t="s">
        <v>360</v>
      </c>
      <c r="G136" s="86" t="n">
        <v>2</v>
      </c>
      <c r="H136" s="86" t="n">
        <v>2</v>
      </c>
      <c r="I136" s="86" t="n">
        <v>16</v>
      </c>
      <c r="J136" s="86" t="n">
        <f aca="false">I136+H136-1</f>
        <v>17</v>
      </c>
      <c r="K136" s="86" t="n">
        <v>0</v>
      </c>
      <c r="L136" s="86" t="n">
        <v>1</v>
      </c>
      <c r="M136" s="86" t="n">
        <v>0</v>
      </c>
      <c r="N136" s="86" t="n">
        <v>1</v>
      </c>
      <c r="O136" s="86" t="n">
        <v>0</v>
      </c>
      <c r="P136" s="86" t="s">
        <v>121</v>
      </c>
      <c r="Q136" s="87" t="s">
        <v>530</v>
      </c>
    </row>
    <row r="137" customFormat="false" ht="36" hidden="false" customHeight="true" outlineLevel="0" collapsed="false">
      <c r="A137" s="113"/>
      <c r="B137" s="114"/>
      <c r="C137" s="115"/>
      <c r="D137" s="115"/>
      <c r="E137" s="87" t="s">
        <v>531</v>
      </c>
      <c r="F137" s="86" t="s">
        <v>121</v>
      </c>
      <c r="G137" s="86" t="n">
        <v>2</v>
      </c>
      <c r="H137" s="86" t="n">
        <v>6</v>
      </c>
      <c r="I137" s="86" t="n">
        <v>18</v>
      </c>
      <c r="J137" s="86" t="n">
        <f aca="false">I137+H137-1</f>
        <v>23</v>
      </c>
      <c r="K137" s="86" t="n">
        <v>0</v>
      </c>
      <c r="L137" s="86" t="n">
        <v>0</v>
      </c>
      <c r="M137" s="86" t="n">
        <v>0</v>
      </c>
      <c r="N137" s="86" t="n">
        <v>0</v>
      </c>
      <c r="O137" s="53" t="s">
        <v>384</v>
      </c>
      <c r="P137" s="86" t="s">
        <v>121</v>
      </c>
      <c r="Q137" s="87" t="s">
        <v>311</v>
      </c>
    </row>
    <row r="138" customFormat="false" ht="36" hidden="false" customHeight="true" outlineLevel="0" collapsed="false">
      <c r="A138" s="113"/>
      <c r="B138" s="114"/>
      <c r="C138" s="115"/>
      <c r="D138" s="115"/>
      <c r="E138" s="81" t="s">
        <v>532</v>
      </c>
      <c r="F138" s="79" t="s">
        <v>345</v>
      </c>
      <c r="G138" s="82" t="s">
        <v>533</v>
      </c>
      <c r="H138" s="79" t="n">
        <v>16</v>
      </c>
      <c r="I138" s="79" t="n">
        <v>24</v>
      </c>
      <c r="J138" s="79" t="n">
        <f aca="false">I138+H138-1</f>
        <v>39</v>
      </c>
      <c r="K138" s="79" t="n">
        <v>0</v>
      </c>
      <c r="L138" s="79" t="n">
        <v>1</v>
      </c>
      <c r="M138" s="79" t="n">
        <v>0</v>
      </c>
      <c r="N138" s="79" t="n">
        <v>60000</v>
      </c>
      <c r="O138" s="79" t="n">
        <v>0</v>
      </c>
      <c r="P138" s="79" t="s">
        <v>496</v>
      </c>
      <c r="Q138" s="81" t="s">
        <v>534</v>
      </c>
    </row>
    <row r="139" customFormat="false" ht="36" hidden="false" customHeight="true" outlineLevel="0" collapsed="false">
      <c r="A139" s="113"/>
      <c r="B139" s="114"/>
      <c r="C139" s="115"/>
      <c r="D139" s="115"/>
      <c r="E139" s="87" t="s">
        <v>535</v>
      </c>
      <c r="F139" s="86" t="s">
        <v>121</v>
      </c>
      <c r="G139" s="53" t="s">
        <v>439</v>
      </c>
      <c r="H139" s="86" t="n">
        <v>24</v>
      </c>
      <c r="I139" s="86" t="n">
        <v>40</v>
      </c>
      <c r="J139" s="86" t="n">
        <f aca="false">I139+H139-1</f>
        <v>63</v>
      </c>
      <c r="K139" s="86" t="n">
        <v>0</v>
      </c>
      <c r="L139" s="86" t="n">
        <v>0</v>
      </c>
      <c r="M139" s="86" t="n">
        <v>0</v>
      </c>
      <c r="N139" s="86" t="n">
        <v>0</v>
      </c>
      <c r="O139" s="53" t="s">
        <v>122</v>
      </c>
      <c r="P139" s="86" t="s">
        <v>121</v>
      </c>
      <c r="Q139" s="87" t="s">
        <v>311</v>
      </c>
    </row>
    <row r="140" customFormat="false" ht="35.15" hidden="false" customHeight="true" outlineLevel="0" collapsed="false">
      <c r="A140" s="143"/>
      <c r="B140" s="144" t="s">
        <v>536</v>
      </c>
      <c r="C140" s="145"/>
      <c r="D140" s="145"/>
      <c r="E140" s="145"/>
      <c r="F140" s="145"/>
      <c r="G140" s="145"/>
      <c r="H140" s="145"/>
      <c r="I140" s="145"/>
      <c r="J140" s="145"/>
      <c r="K140" s="145"/>
      <c r="L140" s="145"/>
      <c r="M140" s="145"/>
      <c r="N140" s="145"/>
      <c r="O140" s="145"/>
      <c r="P140" s="145"/>
      <c r="Q140" s="146"/>
    </row>
    <row r="141" customFormat="false" ht="35.15" hidden="false" customHeight="true" outlineLevel="0" collapsed="false">
      <c r="A141" s="104" t="n">
        <f aca="false">A128+1</f>
        <v>1</v>
      </c>
      <c r="B141" s="116" t="s">
        <v>291</v>
      </c>
      <c r="C141" s="83" t="s">
        <v>121</v>
      </c>
      <c r="D141" s="83" t="s">
        <v>121</v>
      </c>
      <c r="E141" s="76" t="s">
        <v>121</v>
      </c>
      <c r="F141" s="75" t="s">
        <v>121</v>
      </c>
      <c r="G141" s="75" t="s">
        <v>121</v>
      </c>
      <c r="H141" s="83" t="n">
        <f aca="false">SUM(H142:H144)</f>
        <v>64</v>
      </c>
      <c r="I141" s="75" t="s">
        <v>121</v>
      </c>
      <c r="J141" s="75" t="s">
        <v>121</v>
      </c>
      <c r="K141" s="75" t="s">
        <v>121</v>
      </c>
      <c r="L141" s="75" t="s">
        <v>121</v>
      </c>
      <c r="M141" s="83" t="s">
        <v>121</v>
      </c>
      <c r="N141" s="83" t="s">
        <v>121</v>
      </c>
      <c r="O141" s="83" t="s">
        <v>121</v>
      </c>
      <c r="P141" s="83" t="s">
        <v>121</v>
      </c>
      <c r="Q141" s="84"/>
    </row>
    <row r="142" customFormat="false" ht="35.15" hidden="false" customHeight="true" outlineLevel="0" collapsed="false">
      <c r="A142" s="113"/>
      <c r="B142" s="135" t="s">
        <v>537</v>
      </c>
      <c r="C142" s="20" t="s">
        <v>292</v>
      </c>
      <c r="D142" s="115" t="s">
        <v>78</v>
      </c>
      <c r="E142" s="54" t="s">
        <v>538</v>
      </c>
      <c r="F142" s="86" t="s">
        <v>345</v>
      </c>
      <c r="G142" s="86" t="s">
        <v>346</v>
      </c>
      <c r="H142" s="86" t="n">
        <v>16</v>
      </c>
      <c r="I142" s="86" t="n">
        <v>0</v>
      </c>
      <c r="J142" s="86" t="n">
        <f aca="false">I142+H142-1</f>
        <v>15</v>
      </c>
      <c r="K142" s="86" t="n">
        <v>0</v>
      </c>
      <c r="L142" s="86" t="n">
        <v>1</v>
      </c>
      <c r="M142" s="86" t="n">
        <v>0</v>
      </c>
      <c r="N142" s="86" t="n">
        <v>60000</v>
      </c>
      <c r="O142" s="86" t="n">
        <v>0</v>
      </c>
      <c r="P142" s="53" t="s">
        <v>539</v>
      </c>
      <c r="Q142" s="54" t="s">
        <v>540</v>
      </c>
    </row>
    <row r="143" customFormat="false" ht="35.15" hidden="false" customHeight="true" outlineLevel="0" collapsed="false">
      <c r="A143" s="113"/>
      <c r="B143" s="135"/>
      <c r="C143" s="20"/>
      <c r="D143" s="20"/>
      <c r="E143" s="54" t="s">
        <v>541</v>
      </c>
      <c r="F143" s="86" t="s">
        <v>345</v>
      </c>
      <c r="G143" s="86" t="s">
        <v>374</v>
      </c>
      <c r="H143" s="86" t="n">
        <v>16</v>
      </c>
      <c r="I143" s="86" t="n">
        <v>16</v>
      </c>
      <c r="J143" s="86" t="n">
        <f aca="false">I143+H143-1</f>
        <v>31</v>
      </c>
      <c r="K143" s="86" t="n">
        <v>0</v>
      </c>
      <c r="L143" s="86" t="n">
        <v>1</v>
      </c>
      <c r="M143" s="86" t="n">
        <v>0</v>
      </c>
      <c r="N143" s="86" t="n">
        <v>60000</v>
      </c>
      <c r="O143" s="86" t="n">
        <v>0</v>
      </c>
      <c r="P143" s="86" t="s">
        <v>121</v>
      </c>
      <c r="Q143" s="54" t="s">
        <v>542</v>
      </c>
    </row>
    <row r="144" customFormat="false" ht="35.15" hidden="false" customHeight="true" outlineLevel="0" collapsed="false">
      <c r="A144" s="113"/>
      <c r="B144" s="135"/>
      <c r="C144" s="20"/>
      <c r="D144" s="20"/>
      <c r="E144" s="54" t="s">
        <v>543</v>
      </c>
      <c r="F144" s="86" t="s">
        <v>345</v>
      </c>
      <c r="G144" s="53" t="s">
        <v>408</v>
      </c>
      <c r="H144" s="86" t="n">
        <v>32</v>
      </c>
      <c r="I144" s="86" t="n">
        <v>32</v>
      </c>
      <c r="J144" s="86" t="n">
        <f aca="false">I144+H144-1</f>
        <v>63</v>
      </c>
      <c r="K144" s="86" t="n">
        <v>0</v>
      </c>
      <c r="L144" s="86" t="n">
        <v>1</v>
      </c>
      <c r="M144" s="86" t="n">
        <v>0</v>
      </c>
      <c r="N144" s="86" t="n">
        <v>0</v>
      </c>
      <c r="O144" s="86" t="n">
        <v>0</v>
      </c>
      <c r="P144" s="86" t="s">
        <v>121</v>
      </c>
      <c r="Q144" s="87" t="s">
        <v>311</v>
      </c>
    </row>
    <row r="145" customFormat="false" ht="35.15" hidden="false" customHeight="true" outlineLevel="0" collapsed="false">
      <c r="A145" s="143"/>
      <c r="B145" s="145" t="s">
        <v>109</v>
      </c>
      <c r="C145" s="145"/>
      <c r="D145" s="145"/>
      <c r="E145" s="145"/>
      <c r="F145" s="145"/>
      <c r="G145" s="145"/>
      <c r="H145" s="145"/>
      <c r="I145" s="145"/>
      <c r="J145" s="145"/>
      <c r="K145" s="145"/>
      <c r="L145" s="145"/>
      <c r="M145" s="145"/>
      <c r="N145" s="145"/>
      <c r="O145" s="145"/>
      <c r="P145" s="145"/>
      <c r="Q145" s="146"/>
    </row>
    <row r="146" customFormat="false" ht="35.15" hidden="false" customHeight="true" outlineLevel="0" collapsed="false">
      <c r="A146" s="104" t="n">
        <f aca="false">A134+1</f>
        <v>20</v>
      </c>
      <c r="B146" s="105" t="s">
        <v>295</v>
      </c>
      <c r="C146" s="83" t="s">
        <v>121</v>
      </c>
      <c r="D146" s="83" t="s">
        <v>121</v>
      </c>
      <c r="E146" s="76" t="s">
        <v>121</v>
      </c>
      <c r="F146" s="75" t="s">
        <v>121</v>
      </c>
      <c r="G146" s="75" t="s">
        <v>121</v>
      </c>
      <c r="H146" s="83" t="n">
        <f aca="false">SUM(H147:H150)</f>
        <v>64</v>
      </c>
      <c r="I146" s="75" t="s">
        <v>121</v>
      </c>
      <c r="J146" s="75" t="s">
        <v>121</v>
      </c>
      <c r="K146" s="75" t="s">
        <v>121</v>
      </c>
      <c r="L146" s="75" t="s">
        <v>121</v>
      </c>
      <c r="M146" s="83" t="s">
        <v>121</v>
      </c>
      <c r="N146" s="83" t="s">
        <v>121</v>
      </c>
      <c r="O146" s="83" t="s">
        <v>121</v>
      </c>
      <c r="P146" s="83" t="s">
        <v>121</v>
      </c>
      <c r="Q146" s="84"/>
    </row>
    <row r="147" customFormat="false" ht="35.15" hidden="false" customHeight="true" outlineLevel="0" collapsed="false">
      <c r="A147" s="113"/>
      <c r="B147" s="114" t="s">
        <v>544</v>
      </c>
      <c r="C147" s="115" t="s">
        <v>109</v>
      </c>
      <c r="D147" s="115" t="s">
        <v>78</v>
      </c>
      <c r="E147" s="87" t="s">
        <v>545</v>
      </c>
      <c r="F147" s="86" t="s">
        <v>345</v>
      </c>
      <c r="G147" s="86" t="s">
        <v>346</v>
      </c>
      <c r="H147" s="86" t="n">
        <v>16</v>
      </c>
      <c r="I147" s="86" t="n">
        <v>0</v>
      </c>
      <c r="J147" s="86" t="n">
        <f aca="false">I147+H147-1</f>
        <v>15</v>
      </c>
      <c r="K147" s="86" t="n">
        <v>0</v>
      </c>
      <c r="L147" s="86" t="n">
        <v>0.01</v>
      </c>
      <c r="M147" s="86" t="n">
        <v>0</v>
      </c>
      <c r="N147" s="86" t="n">
        <v>100</v>
      </c>
      <c r="O147" s="86" t="n">
        <v>0</v>
      </c>
      <c r="P147" s="86" t="s">
        <v>371</v>
      </c>
      <c r="Q147" s="87" t="s">
        <v>546</v>
      </c>
    </row>
    <row r="148" customFormat="false" ht="35.15" hidden="false" customHeight="true" outlineLevel="0" collapsed="false">
      <c r="A148" s="113"/>
      <c r="B148" s="114"/>
      <c r="C148" s="115"/>
      <c r="D148" s="115"/>
      <c r="E148" s="87" t="s">
        <v>547</v>
      </c>
      <c r="F148" s="86" t="s">
        <v>345</v>
      </c>
      <c r="G148" s="86" t="s">
        <v>374</v>
      </c>
      <c r="H148" s="86" t="n">
        <v>16</v>
      </c>
      <c r="I148" s="86" t="n">
        <v>16</v>
      </c>
      <c r="J148" s="86" t="n">
        <f aca="false">I148+H148-1</f>
        <v>31</v>
      </c>
      <c r="K148" s="86" t="n">
        <v>0</v>
      </c>
      <c r="L148" s="86" t="n">
        <v>0.01</v>
      </c>
      <c r="M148" s="86" t="n">
        <v>0</v>
      </c>
      <c r="N148" s="86" t="n">
        <v>50</v>
      </c>
      <c r="O148" s="86" t="n">
        <v>0</v>
      </c>
      <c r="P148" s="86" t="s">
        <v>375</v>
      </c>
      <c r="Q148" s="87" t="s">
        <v>548</v>
      </c>
    </row>
    <row r="149" customFormat="false" ht="35.15" hidden="false" customHeight="true" outlineLevel="0" collapsed="false">
      <c r="A149" s="113"/>
      <c r="B149" s="114"/>
      <c r="C149" s="115"/>
      <c r="D149" s="115"/>
      <c r="E149" s="87" t="s">
        <v>549</v>
      </c>
      <c r="F149" s="86" t="s">
        <v>345</v>
      </c>
      <c r="G149" s="86" t="s">
        <v>378</v>
      </c>
      <c r="H149" s="86" t="n">
        <v>16</v>
      </c>
      <c r="I149" s="86" t="n">
        <v>32</v>
      </c>
      <c r="J149" s="86" t="n">
        <f aca="false">I149+H149-1</f>
        <v>47</v>
      </c>
      <c r="K149" s="86" t="n">
        <v>0</v>
      </c>
      <c r="L149" s="86" t="n">
        <v>0.01</v>
      </c>
      <c r="M149" s="86" t="n">
        <v>0</v>
      </c>
      <c r="N149" s="86" t="n">
        <v>50</v>
      </c>
      <c r="O149" s="86" t="n">
        <v>0</v>
      </c>
      <c r="P149" s="86" t="s">
        <v>375</v>
      </c>
      <c r="Q149" s="87" t="s">
        <v>550</v>
      </c>
    </row>
    <row r="150" customFormat="false" ht="35.15" hidden="false" customHeight="true" outlineLevel="0" collapsed="false">
      <c r="A150" s="113"/>
      <c r="B150" s="114"/>
      <c r="C150" s="115"/>
      <c r="D150" s="115"/>
      <c r="E150" s="87" t="s">
        <v>551</v>
      </c>
      <c r="F150" s="86" t="s">
        <v>345</v>
      </c>
      <c r="G150" s="86" t="s">
        <v>461</v>
      </c>
      <c r="H150" s="86" t="n">
        <v>16</v>
      </c>
      <c r="I150" s="86" t="n">
        <v>48</v>
      </c>
      <c r="J150" s="86" t="n">
        <f aca="false">I150+H150-1</f>
        <v>63</v>
      </c>
      <c r="K150" s="86" t="n">
        <v>-40</v>
      </c>
      <c r="L150" s="86" t="n">
        <v>0.1</v>
      </c>
      <c r="M150" s="86" t="n">
        <v>-40</v>
      </c>
      <c r="N150" s="86" t="n">
        <v>200</v>
      </c>
      <c r="O150" s="86" t="n">
        <v>0</v>
      </c>
      <c r="P150" s="86" t="s">
        <v>507</v>
      </c>
      <c r="Q150" s="87" t="s">
        <v>552</v>
      </c>
    </row>
  </sheetData>
  <mergeCells count="93">
    <mergeCell ref="B1:Q1"/>
    <mergeCell ref="A2:A3"/>
    <mergeCell ref="B2:B3"/>
    <mergeCell ref="C2:C3"/>
    <mergeCell ref="D2:D3"/>
    <mergeCell ref="E2:E3"/>
    <mergeCell ref="F2:J2"/>
    <mergeCell ref="K2:P2"/>
    <mergeCell ref="Q2:Q3"/>
    <mergeCell ref="A6:A10"/>
    <mergeCell ref="B6:B10"/>
    <mergeCell ref="C6:C10"/>
    <mergeCell ref="D6:D10"/>
    <mergeCell ref="A12:A19"/>
    <mergeCell ref="B12:B19"/>
    <mergeCell ref="C12:C19"/>
    <mergeCell ref="D12:D19"/>
    <mergeCell ref="A21:A24"/>
    <mergeCell ref="B21:B24"/>
    <mergeCell ref="C21:C24"/>
    <mergeCell ref="D21:D24"/>
    <mergeCell ref="A26:A30"/>
    <mergeCell ref="B26:B30"/>
    <mergeCell ref="C26:C30"/>
    <mergeCell ref="D26:D30"/>
    <mergeCell ref="A33:A44"/>
    <mergeCell ref="B33:B44"/>
    <mergeCell ref="C33:C44"/>
    <mergeCell ref="D33:D44"/>
    <mergeCell ref="A46:A51"/>
    <mergeCell ref="B46:B51"/>
    <mergeCell ref="C46:C51"/>
    <mergeCell ref="D46:D51"/>
    <mergeCell ref="A53:A58"/>
    <mergeCell ref="B53:B58"/>
    <mergeCell ref="C53:C58"/>
    <mergeCell ref="D53:D58"/>
    <mergeCell ref="A60:A61"/>
    <mergeCell ref="B60:B61"/>
    <mergeCell ref="C60:C61"/>
    <mergeCell ref="D60:D61"/>
    <mergeCell ref="A63:A65"/>
    <mergeCell ref="B63:B65"/>
    <mergeCell ref="C63:C65"/>
    <mergeCell ref="D63:D65"/>
    <mergeCell ref="A67:A69"/>
    <mergeCell ref="B67:B69"/>
    <mergeCell ref="C67:C69"/>
    <mergeCell ref="D67:D69"/>
    <mergeCell ref="A71:A72"/>
    <mergeCell ref="B71:B72"/>
    <mergeCell ref="C71:C72"/>
    <mergeCell ref="D71:D72"/>
    <mergeCell ref="A74:A77"/>
    <mergeCell ref="B74:B77"/>
    <mergeCell ref="C74:C77"/>
    <mergeCell ref="D74:D77"/>
    <mergeCell ref="A79:A90"/>
    <mergeCell ref="B79:B90"/>
    <mergeCell ref="C79:C90"/>
    <mergeCell ref="D79:D90"/>
    <mergeCell ref="A94:A106"/>
    <mergeCell ref="B94:B106"/>
    <mergeCell ref="C94:C106"/>
    <mergeCell ref="D94:D106"/>
    <mergeCell ref="A110:A116"/>
    <mergeCell ref="B110:B116"/>
    <mergeCell ref="C110:C116"/>
    <mergeCell ref="D110:D116"/>
    <mergeCell ref="A118:A120"/>
    <mergeCell ref="B118:B120"/>
    <mergeCell ref="C118:C120"/>
    <mergeCell ref="D118:D120"/>
    <mergeCell ref="A122:A125"/>
    <mergeCell ref="B122:B125"/>
    <mergeCell ref="C122:C125"/>
    <mergeCell ref="D122:D125"/>
    <mergeCell ref="A127:A133"/>
    <mergeCell ref="B127:B133"/>
    <mergeCell ref="C127:C133"/>
    <mergeCell ref="D127:D133"/>
    <mergeCell ref="A135:A139"/>
    <mergeCell ref="B135:B139"/>
    <mergeCell ref="C135:C139"/>
    <mergeCell ref="D135:D139"/>
    <mergeCell ref="A142:A144"/>
    <mergeCell ref="B142:B144"/>
    <mergeCell ref="C142:C144"/>
    <mergeCell ref="D142:D144"/>
    <mergeCell ref="A147:A150"/>
    <mergeCell ref="B147:B150"/>
    <mergeCell ref="C147:C150"/>
    <mergeCell ref="D147:D150"/>
  </mergeCells>
  <printOptions headings="false" gridLines="false" gridLinesSet="true" horizontalCentered="false" verticalCentered="false"/>
  <pageMargins left="0.7" right="0.7" top="0.611111111111111" bottom="0.75" header="0.3" footer="0.511811023622047"/>
  <pageSetup paperSize="9" scale="48" fitToWidth="1" fitToHeight="1" pageOrder="downThenOver" orientation="landscape" blackAndWhite="false" draft="false" cellComments="none" horizontalDpi="300" verticalDpi="300" copies="1"/>
  <headerFooter differentFirst="false" differentOddEven="false">
    <oddHeader/>
    <oddFooter/>
  </headerFooter>
  <rowBreaks count="6" manualBreakCount="6">
    <brk id="19" man="true" max="16383" min="0"/>
    <brk id="51" man="true" max="16383" min="0"/>
    <brk id="77" man="true" max="16383" min="0"/>
    <brk id="91" man="true" max="16383" min="0"/>
    <brk id="107" man="true" max="16383" min="0"/>
    <brk id="133" man="true" max="16383" min="0"/>
  </rowBreak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
  <sheetViews>
    <sheetView showFormulas="false" showGridLines="false" showRowColHeaders="true" showZeros="true" rightToLeft="false" tabSelected="false" showOutlineSymbols="true" defaultGridColor="true" view="normal" topLeftCell="A1" colorId="64" zoomScale="75" zoomScaleNormal="75" zoomScalePageLayoutView="100" workbookViewId="0">
      <pane xSplit="0" ySplit="2" topLeftCell="A6" activePane="bottomLeft" state="frozen"/>
      <selection pane="topLeft" activeCell="A1" activeCellId="0" sqref="A1"/>
      <selection pane="bottomLeft" activeCell="A3" activeCellId="0" sqref="A3"/>
    </sheetView>
  </sheetViews>
  <sheetFormatPr defaultColWidth="14.3828125" defaultRowHeight="12.75" zeroHeight="false" outlineLevelRow="0" outlineLevelCol="0"/>
  <cols>
    <col collapsed="false" customWidth="true" hidden="false" outlineLevel="0" max="1" min="1" style="0" width="14.94"/>
    <col collapsed="false" customWidth="true" hidden="false" outlineLevel="0" max="2" min="2" style="0" width="122.87"/>
    <col collapsed="false" customWidth="true" hidden="false" outlineLevel="0" max="4" min="3" style="0" width="15.87"/>
  </cols>
  <sheetData>
    <row r="1" customFormat="false" ht="29.15" hidden="false" customHeight="true" outlineLevel="0" collapsed="false">
      <c r="A1" s="147" t="s">
        <v>553</v>
      </c>
      <c r="B1" s="147"/>
      <c r="C1" s="147"/>
      <c r="D1" s="147"/>
    </row>
    <row r="2" customFormat="false" ht="29.15" hidden="false" customHeight="true" outlineLevel="0" collapsed="false">
      <c r="A2" s="148" t="s">
        <v>554</v>
      </c>
      <c r="B2" s="148" t="s">
        <v>4</v>
      </c>
      <c r="C2" s="148" t="s">
        <v>555</v>
      </c>
      <c r="D2" s="148" t="s">
        <v>556</v>
      </c>
    </row>
    <row r="3" customFormat="false" ht="48.75" hidden="false" customHeight="true" outlineLevel="0" collapsed="false">
      <c r="A3" s="149" t="s">
        <v>557</v>
      </c>
      <c r="B3" s="150" t="s">
        <v>558</v>
      </c>
      <c r="C3" s="149" t="s">
        <v>559</v>
      </c>
      <c r="D3" s="151" t="n">
        <v>45029</v>
      </c>
    </row>
    <row r="4" customFormat="false" ht="72.75" hidden="false" customHeight="true" outlineLevel="0" collapsed="false">
      <c r="A4" s="149" t="s">
        <v>560</v>
      </c>
      <c r="B4" s="152" t="s">
        <v>561</v>
      </c>
      <c r="C4" s="149" t="s">
        <v>559</v>
      </c>
      <c r="D4" s="151" t="n">
        <v>45031</v>
      </c>
    </row>
    <row r="5" customFormat="false" ht="48.75" hidden="false" customHeight="true" outlineLevel="0" collapsed="false">
      <c r="A5" s="149" t="s">
        <v>562</v>
      </c>
      <c r="B5" s="150" t="s">
        <v>563</v>
      </c>
      <c r="C5" s="149" t="s">
        <v>559</v>
      </c>
      <c r="D5" s="151" t="n">
        <v>45051</v>
      </c>
    </row>
    <row r="6" customFormat="false" ht="48.75" hidden="false" customHeight="true" outlineLevel="0" collapsed="false">
      <c r="A6" s="149" t="s">
        <v>564</v>
      </c>
      <c r="B6" s="150" t="s">
        <v>565</v>
      </c>
      <c r="C6" s="149" t="s">
        <v>559</v>
      </c>
      <c r="D6" s="151" t="n">
        <v>45062</v>
      </c>
    </row>
    <row r="7" customFormat="false" ht="93" hidden="false" customHeight="true" outlineLevel="0" collapsed="false">
      <c r="A7" s="149" t="s">
        <v>566</v>
      </c>
      <c r="B7" s="153" t="s">
        <v>567</v>
      </c>
      <c r="C7" s="149" t="s">
        <v>559</v>
      </c>
      <c r="D7" s="151" t="n">
        <v>45244</v>
      </c>
    </row>
    <row r="8" customFormat="false" ht="162.65" hidden="false" customHeight="false" outlineLevel="0" collapsed="false">
      <c r="A8" s="154" t="s">
        <v>568</v>
      </c>
      <c r="B8" s="153" t="s">
        <v>569</v>
      </c>
      <c r="C8" s="154" t="s">
        <v>559</v>
      </c>
      <c r="D8" s="151" t="n">
        <v>45698</v>
      </c>
    </row>
    <row r="9" customFormat="false" ht="38.25" hidden="false" customHeight="true" outlineLevel="0" collapsed="false">
      <c r="A9" s="154" t="s">
        <v>570</v>
      </c>
      <c r="B9" s="153" t="s">
        <v>571</v>
      </c>
      <c r="C9" s="154" t="s">
        <v>559</v>
      </c>
      <c r="D9" s="151" t="n">
        <v>45716</v>
      </c>
    </row>
    <row r="10" customFormat="false" ht="38.25" hidden="false" customHeight="true" outlineLevel="0" collapsed="false">
      <c r="A10" s="154" t="s">
        <v>572</v>
      </c>
      <c r="B10" s="153" t="s">
        <v>573</v>
      </c>
      <c r="C10" s="154" t="s">
        <v>559</v>
      </c>
      <c r="D10" s="151" t="n">
        <v>45826</v>
      </c>
    </row>
  </sheetData>
  <mergeCells count="1">
    <mergeCell ref="A1:D1"/>
  </mergeCells>
  <printOptions headings="false" gridLines="false" gridLinesSet="true" horizontalCentered="false" verticalCentered="false"/>
  <pageMargins left="0.7" right="0.7" top="0.611111111111111" bottom="0.75" header="0.3" footer="0.511811023622047"/>
  <pageSetup paperSize="9" scale="56"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item1.xml><?xml version="1.0" encoding="utf-8"?>
<woProps xmlns="https://web.wps.cn/et/2018/main" xmlns:s="http://schemas.openxmlformats.org/spreadsheetml/2006/main">
  <woSheetsProps>
    <woSheetProps sheetStid="2" interlineOnOff="0" interlineColor="0" isDbSheet="0" isDashBoardSheet="0" isDbDashBoardSheet="0" isFlexPaperSheet="0">
      <cellprotection/>
      <appEtDbRelations/>
    </woSheetProps>
    <woSheetProps sheetStid="3" interlineOnOff="0" interlineColor="0" isDbSheet="0" isDashBoardSheet="0" isDbDashBoardSheet="0" isFlexPaperSheet="0">
      <cellprotection/>
      <appEtDbRelations/>
    </woSheetProps>
    <woSheetProps sheetStid="4" interlineOnOff="0" interlineColor="0" isDbSheet="0" isDashBoardSheet="0" isDbDashBoardSheet="0" isFlexPaperSheet="0">
      <cellprotection/>
      <appEtDbRelations/>
    </woSheetProps>
    <woSheetProps sheetStid="5" interlineOnOff="0" interlineColor="0" isDbSheet="0" isDashBoardSheet="0" isDbDashBoardSheet="0" isFlexPaperSheet="0">
      <cellprotection/>
      <appEtDbRelations/>
    </woSheetProps>
    <woSheetProps sheetStid="6" interlineOnOff="0" interlineColor="0" isDbSheet="0" isDashBoardSheet="0" isDbDashBoardSheet="0" isFlexPaperSheet="0">
      <cellprotection/>
      <appEtDbRelations/>
    </woSheetProps>
    <woSheetProps sheetStid="7" interlineOnOff="0" interlineColor="0" isDbSheet="0" isDashBoardSheet="0" isDbDashBoardSheet="0" isFlexPaperSheet="0">
      <cellprotection/>
      <appEtDbRelations/>
    </woSheetProps>
    <woSheetProps sheetStid="8" interlineOnOff="0" interlineColor="0" isDbSheet="0" isDashBoardSheet="0" isDbDashBoardSheet="0" isFlexPaperSheet="0">
      <cellprotection/>
      <appEtDbRelations/>
    </woSheetProps>
  </woSheetsProps>
  <woBookProps>
    <bookSettings fileId="" isFilterShared="1" coreConquerUserId="" isAutoUpdatePaused="0" filterType="user" isMergeTasksAutoUpdate="0" isInserPicAsAttachment="0"/>
  </woBookProps>
</woProps>
</file>

<file path=customXml/item2.xml><?xml version="1.0" encoding="utf-8"?>
<pixelators xmlns="https://web.wps.cn/et/2018/main" xmlns:s="http://schemas.openxmlformats.org/spreadsheetml/2006/main">
  <pixelatorList sheetStid="2"/>
  <pixelatorList sheetStid="3"/>
  <pixelatorList sheetStid="4"/>
  <pixelatorList sheetStid="5"/>
  <pixelatorList sheetStid="6"/>
  <pixelatorList sheetStid="7"/>
  <pixelatorList sheetStid="8"/>
  <pixelatorList sheetStid="9"/>
</pixelators>
</file>

<file path=customXml/itemProps1.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Template/>
  <TotalTime>1443</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2024-05-26T11:02:00Z</dcterms:created>
  <dc:creator/>
  <dc:description/>
  <dc:language>en-US</dc:language>
  <cp:lastModifiedBy>Scott Spitler II</cp:lastModifiedBy>
  <cp:lastPrinted>2023-12-08T11:38:00Z</cp:lastPrinted>
  <dcterms:modified xsi:type="dcterms:W3CDTF">2025-11-13T18:09:04Z</dcterms:modified>
  <cp:revision>2</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